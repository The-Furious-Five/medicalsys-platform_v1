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Tareas" sheetId="2" state="visible" r:id="rId2"/>
    <sheet name="Carga" sheetId="3" state="visible" r:id="rId3"/>
    <sheet name="Cronograma" sheetId="4" state="visible" r:id="rId4"/>
    <sheet name="Dependencias" sheetId="5" state="visible" r:id="rId5"/>
    <sheet name="Cobertura PDF" sheetId="6" state="visible" r:id="rId6"/>
    <sheet name="Documentos" sheetId="7" state="visible" r:id="rId7"/>
    <sheet name="Decisiones" sheetId="8" state="visible" r:id="rId8"/>
    <sheet name="Defensa" sheetId="9" state="visible" r:id="rId9"/>
  </sheets>
  <definedNames>
    <definedName name="_xlnm._FilterDatabase" localSheetId="1" hidden="1">'Tareas'!$A$4:$T$77</definedName>
  </definedNames>
  <calcPr calcId="124519" fullCalcOnLoad="1"/>
</workbook>
</file>

<file path=xl/styles.xml><?xml version="1.0" encoding="utf-8"?>
<styleSheet xmlns="http://schemas.openxmlformats.org/spreadsheetml/2006/main">
  <numFmts count="2">
    <numFmt numFmtId="164" formatCode="0.0"/>
    <numFmt numFmtId="165" formatCode="ddd dd/mm"/>
  </numFmts>
  <fonts count="11">
    <font>
      <name val="Calibri"/>
      <family val="2"/>
      <color theme="1"/>
      <sz val="11"/>
      <scheme val="minor"/>
    </font>
    <font>
      <name val="Arial"/>
      <b val="1"/>
      <color rgb="000F783C"/>
      <sz val="16"/>
    </font>
    <font>
      <name val="Arial"/>
      <i val="1"/>
      <color rgb="00595959"/>
      <sz val="10"/>
    </font>
    <font>
      <name val="Arial"/>
      <b val="1"/>
      <color rgb="00FFFFFF"/>
      <sz val="10"/>
    </font>
    <font>
      <name val="Arial"/>
      <b val="1"/>
      <sz val="10"/>
    </font>
    <font>
      <name val="Arial"/>
      <sz val="10"/>
    </font>
    <font>
      <name val="Arial"/>
      <color rgb="000563C1"/>
      <sz val="10"/>
      <u val="single"/>
    </font>
    <font>
      <name val="Arial"/>
      <i val="1"/>
      <color rgb="00595959"/>
      <sz val="9"/>
    </font>
    <font>
      <name val="Arial"/>
      <b val="1"/>
      <color rgb="000F783C"/>
      <sz val="12"/>
    </font>
    <font>
      <name val="Arial"/>
      <b val="1"/>
      <color rgb="000F783C"/>
      <sz val="14"/>
    </font>
    <font>
      <name val="Arial"/>
      <i val="1"/>
      <sz val="9"/>
    </font>
  </fonts>
  <fills count="12">
    <fill>
      <patternFill/>
    </fill>
    <fill>
      <patternFill patternType="gray125"/>
    </fill>
    <fill>
      <patternFill patternType="solid">
        <fgColor rgb="000F783C"/>
      </patternFill>
    </fill>
    <fill>
      <patternFill patternType="solid">
        <fgColor rgb="00FCE4EC"/>
      </patternFill>
    </fill>
    <fill>
      <patternFill patternType="solid">
        <fgColor rgb="00FFF2CC"/>
      </patternFill>
    </fill>
    <fill>
      <patternFill patternType="solid">
        <fgColor rgb="00F3E5F5"/>
      </patternFill>
    </fill>
    <fill>
      <patternFill patternType="solid">
        <fgColor rgb="00E0F7FA"/>
      </patternFill>
    </fill>
    <fill>
      <patternFill patternType="solid">
        <fgColor rgb="00E3F2FD"/>
      </patternFill>
    </fill>
    <fill>
      <patternFill patternType="solid">
        <fgColor rgb="00FFF3E0"/>
      </patternFill>
    </fill>
    <fill>
      <patternFill patternType="solid">
        <fgColor rgb="00E8F5E9"/>
      </patternFill>
    </fill>
    <fill>
      <patternFill patternType="solid">
        <fgColor rgb="00F2F2F2"/>
      </patternFill>
    </fill>
    <fill>
      <patternFill patternType="solid">
        <fgColor rgb="00E8F3E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0">
    <xf numFmtId="0" fontId="0" fillId="0" borderId="0" pivotButton="0" quotePrefix="0" xfId="0"/>
    <xf numFmtId="0" fontId="1" fillId="0" borderId="0" pivotButton="0" quotePrefix="0" xfId="0"/>
    <xf numFmtId="0" fontId="2" fillId="0" borderId="0" pivotButton="0" quotePrefix="0" xfId="0"/>
    <xf numFmtId="0" fontId="8" fillId="0" borderId="0" pivotButton="0" quotePrefix="0" xfId="0"/>
    <xf numFmtId="0" fontId="5" fillId="0" borderId="0" applyAlignment="1" pivotButton="0" quotePrefix="0" xfId="0">
      <alignment vertical="top" wrapText="1"/>
    </xf>
    <xf numFmtId="0" fontId="4" fillId="0" borderId="0" pivotButton="0" quotePrefix="0" xfId="0"/>
    <xf numFmtId="9" fontId="9" fillId="0" borderId="0" pivotButton="0" quotePrefix="0" xfId="0"/>
    <xf numFmtId="0" fontId="10" fillId="0" borderId="0" pivotButton="0" quotePrefix="0" xfId="0"/>
    <xf numFmtId="0" fontId="5" fillId="0" borderId="0" pivotButton="0" quotePrefix="0" xfId="0"/>
    <xf numFmtId="0" fontId="6" fillId="0" borderId="0" pivotButton="0" quotePrefix="0" xfId="0"/>
    <xf numFmtId="0" fontId="3" fillId="2" borderId="1" applyAlignment="1" pivotButton="0" quotePrefix="0" xfId="0">
      <alignment horizontal="center" vertical="top" wrapText="1"/>
    </xf>
    <xf numFmtId="0" fontId="4" fillId="3"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center" vertical="top" wrapText="1"/>
    </xf>
    <xf numFmtId="164" fontId="5" fillId="0" borderId="1" applyAlignment="1" pivotButton="0" quotePrefix="0" xfId="0">
      <alignment horizontal="center" vertical="top" wrapText="1"/>
    </xf>
    <xf numFmtId="9" fontId="5" fillId="0" borderId="1" applyAlignment="1" pivotButton="0" quotePrefix="0" xfId="0">
      <alignment horizontal="center"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0" borderId="1" applyAlignment="1" pivotButton="0" quotePrefix="0" xfId="0">
      <alignment vertical="top" wrapText="1"/>
    </xf>
    <xf numFmtId="0" fontId="0" fillId="0" borderId="4" pivotButton="0" quotePrefix="0" xfId="0"/>
    <xf numFmtId="0" fontId="0" fillId="0" borderId="5" pivotButton="0" quotePrefix="0" xfId="0"/>
    <xf numFmtId="0" fontId="7" fillId="0" borderId="0" pivotButton="0" quotePrefix="0" xfId="0"/>
    <xf numFmtId="0" fontId="4" fillId="0" borderId="1" applyAlignment="1" pivotButton="0" quotePrefix="0" xfId="0">
      <alignment horizontal="center" vertical="top" wrapText="1"/>
    </xf>
    <xf numFmtId="0" fontId="6" fillId="0" borderId="1" applyAlignment="1" pivotButton="0" quotePrefix="0" xfId="0">
      <alignment horizontal="center" vertical="top" wrapText="1"/>
    </xf>
    <xf numFmtId="0" fontId="5" fillId="3" borderId="1" applyAlignment="1" pivotButton="0" quotePrefix="0" xfId="0">
      <alignment horizontal="center" vertical="top" wrapText="1"/>
    </xf>
    <xf numFmtId="165" fontId="5" fillId="0" borderId="1" applyAlignment="1" pivotButton="0" quotePrefix="0" xfId="0">
      <alignment horizontal="center" vertical="top" wrapText="1"/>
    </xf>
    <xf numFmtId="0" fontId="5" fillId="4" borderId="1" applyAlignment="1" pivotButton="0" quotePrefix="0" xfId="0">
      <alignment horizontal="center" vertical="top" wrapText="1"/>
    </xf>
    <xf numFmtId="0" fontId="5" fillId="4" borderId="1" applyAlignment="1" pivotButton="0" quotePrefix="0" xfId="0">
      <alignment vertical="top" wrapText="1"/>
    </xf>
    <xf numFmtId="0" fontId="5" fillId="5" borderId="1" applyAlignment="1" pivotButton="0" quotePrefix="0" xfId="0">
      <alignment horizontal="center" vertical="top" wrapText="1"/>
    </xf>
    <xf numFmtId="0" fontId="5" fillId="6" borderId="1" applyAlignment="1" pivotButton="0" quotePrefix="0" xfId="0">
      <alignment horizontal="center" vertical="top" wrapText="1"/>
    </xf>
    <xf numFmtId="0" fontId="5" fillId="7" borderId="1" applyAlignment="1" pivotButton="0" quotePrefix="0" xfId="0">
      <alignment horizontal="center" vertical="top" wrapText="1"/>
    </xf>
    <xf numFmtId="0" fontId="5" fillId="8" borderId="1" applyAlignment="1" pivotButton="0" quotePrefix="0" xfId="0">
      <alignment horizontal="center" vertical="top" wrapText="1"/>
    </xf>
    <xf numFmtId="0" fontId="5" fillId="9" borderId="1" applyAlignment="1" pivotButton="0" quotePrefix="0" xfId="0">
      <alignment horizontal="center" vertical="top" wrapText="1"/>
    </xf>
    <xf numFmtId="164" fontId="4" fillId="0" borderId="1" applyAlignment="1" pivotButton="0" quotePrefix="0" xfId="0">
      <alignment horizontal="center" vertical="top" wrapText="1"/>
    </xf>
    <xf numFmtId="9" fontId="4" fillId="0" borderId="1" applyAlignment="1" pivotButton="0" quotePrefix="0" xfId="0">
      <alignment horizontal="center" vertical="top" wrapText="1"/>
    </xf>
    <xf numFmtId="0" fontId="5" fillId="3" borderId="1" applyAlignment="1" pivotButton="0" quotePrefix="0" xfId="0">
      <alignment vertical="top" wrapText="1"/>
    </xf>
    <xf numFmtId="0" fontId="5" fillId="7" borderId="1" applyAlignment="1" pivotButton="0" quotePrefix="0" xfId="0">
      <alignment vertical="top" wrapText="1"/>
    </xf>
    <xf numFmtId="0" fontId="5" fillId="8" borderId="1" applyAlignment="1" pivotButton="0" quotePrefix="0" xfId="0">
      <alignment vertical="top" wrapText="1"/>
    </xf>
    <xf numFmtId="0" fontId="5" fillId="9"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4" fillId="10" borderId="1" applyAlignment="1" pivotButton="0" quotePrefix="0" xfId="0">
      <alignment vertical="top" wrapText="1"/>
    </xf>
    <xf numFmtId="0" fontId="4" fillId="11" borderId="1" applyAlignment="1" pivotButton="0" quotePrefix="0" xfId="0">
      <alignment horizontal="center" vertical="top" wrapText="1"/>
    </xf>
    <xf numFmtId="0" fontId="5" fillId="11" borderId="1" applyAlignment="1" pivotButton="0" quotePrefix="0" xfId="0">
      <alignment vertical="top" wrapText="1"/>
    </xf>
    <xf numFmtId="0" fontId="5" fillId="11" borderId="1" applyAlignment="1" pivotButton="0" quotePrefix="0" xfId="0">
      <alignment horizontal="center" vertical="top" wrapText="1"/>
    </xf>
    <xf numFmtId="164" fontId="5" fillId="0" borderId="1" applyAlignment="1" pivotButton="0" quotePrefix="0" xfId="0">
      <alignment horizontal="center" vertical="top" wrapText="1"/>
    </xf>
    <xf numFmtId="164" fontId="4" fillId="0" borderId="1" applyAlignment="1" pivotButton="0" quotePrefix="0" xfId="0">
      <alignment horizontal="center" vertical="top" wrapText="1"/>
    </xf>
  </cellXfs>
  <cellStyles count="1">
    <cellStyle name="Normal" xfId="0" builtinId="0" hidden="0"/>
  </cellStyles>
  <dxfs count="10">
    <dxf>
      <fill>
        <patternFill patternType="solid">
          <fgColor rgb="00C6EFCE"/>
        </patternFill>
      </fill>
    </dxf>
    <dxf>
      <fill>
        <patternFill patternType="solid">
          <fgColor rgb="00DDEBF7"/>
        </patternFill>
      </fill>
    </dxf>
    <dxf>
      <fill>
        <patternFill patternType="solid">
          <fgColor rgb="00FFC7CE"/>
        </patternFill>
      </fill>
    </dxf>
    <dxf>
      <fill>
        <patternFill patternType="solid">
          <fgColor rgb="00FFEB9C"/>
        </patternFill>
      </fill>
    </dxf>
    <dxf>
      <fill>
        <patternFill patternType="solid">
          <fgColor rgb="00D9D9D9"/>
        </patternFill>
      </fill>
    </dxf>
    <dxf>
      <font>
        <name val="Arial"/>
        <b val="1"/>
        <color rgb="00C00000"/>
      </font>
    </dxf>
    <dxf>
      <font>
        <name val="Arial"/>
        <b val="1"/>
        <color rgb="00E46C0A"/>
      </font>
    </dxf>
    <dxf>
      <font>
        <name val="Arial"/>
        <b val="1"/>
        <color rgb="007F7F7F"/>
      </font>
    </dxf>
    <dxf>
      <font>
        <name val="Arial"/>
        <b val="1"/>
        <color rgb="00A6A6A6"/>
      </font>
    </dxf>
    <dxf>
      <font>
        <name val="Arial"/>
        <strike val="1"/>
        <color rgb="007F7F7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inear.app/los-5-furiosos/project/medicalsys-proyecto-seguridad-sis-321-d51e6b35ec22" TargetMode="External" Id="rId1" /></Relationships>
</file>

<file path=xl/worksheets/_rels/sheet2.xml.rels><Relationships xmlns="http://schemas.openxmlformats.org/package/2006/relationships"><Relationship Type="http://schemas.openxmlformats.org/officeDocument/2006/relationships/hyperlink" Target="https://linear.app/los-5-furiosos/issue/SINS-1" TargetMode="External" Id="rId1" /><Relationship Type="http://schemas.openxmlformats.org/officeDocument/2006/relationships/hyperlink" Target="https://linear.app/los-5-furiosos/issue/SINS-2" TargetMode="External" Id="rId2" /><Relationship Type="http://schemas.openxmlformats.org/officeDocument/2006/relationships/hyperlink" Target="https://linear.app/los-5-furiosos/issue/SINS-66" TargetMode="External" Id="rId3" /><Relationship Type="http://schemas.openxmlformats.org/officeDocument/2006/relationships/hyperlink" Target="https://linear.app/los-5-furiosos/issue/SINS-69" TargetMode="External" Id="rId4" /><Relationship Type="http://schemas.openxmlformats.org/officeDocument/2006/relationships/hyperlink" Target="https://linear.app/los-5-furiosos/issue/SINS-10" TargetMode="External" Id="rId5" /><Relationship Type="http://schemas.openxmlformats.org/officeDocument/2006/relationships/hyperlink" Target="https://linear.app/los-5-furiosos/issue/SINS-41" TargetMode="External" Id="rId6" /><Relationship Type="http://schemas.openxmlformats.org/officeDocument/2006/relationships/hyperlink" Target="https://linear.app/los-5-furiosos/issue/SINS-51" TargetMode="External" Id="rId7" /><Relationship Type="http://schemas.openxmlformats.org/officeDocument/2006/relationships/hyperlink" Target="https://linear.app/los-5-furiosos/issue/SINS-22" TargetMode="External" Id="rId8" /><Relationship Type="http://schemas.openxmlformats.org/officeDocument/2006/relationships/hyperlink" Target="https://linear.app/los-5-furiosos/issue/SINS-55" TargetMode="External" Id="rId9" /><Relationship Type="http://schemas.openxmlformats.org/officeDocument/2006/relationships/hyperlink" Target="https://linear.app/los-5-furiosos/issue/SINS-59" TargetMode="External" Id="rId10" /><Relationship Type="http://schemas.openxmlformats.org/officeDocument/2006/relationships/hyperlink" Target="https://linear.app/los-5-furiosos/issue/SINS-23" TargetMode="External" Id="rId11" /><Relationship Type="http://schemas.openxmlformats.org/officeDocument/2006/relationships/hyperlink" Target="https://linear.app/los-5-furiosos/issue/SINS-56" TargetMode="External" Id="rId12" /><Relationship Type="http://schemas.openxmlformats.org/officeDocument/2006/relationships/hyperlink" Target="https://linear.app/los-5-furiosos/issue/SINS-24" TargetMode="External" Id="rId13" /><Relationship Type="http://schemas.openxmlformats.org/officeDocument/2006/relationships/hyperlink" Target="https://linear.app/los-5-furiosos/issue/SINS-11" TargetMode="External" Id="rId14" /><Relationship Type="http://schemas.openxmlformats.org/officeDocument/2006/relationships/hyperlink" Target="https://linear.app/los-5-furiosos/issue/SINS-25" TargetMode="External" Id="rId15" /><Relationship Type="http://schemas.openxmlformats.org/officeDocument/2006/relationships/hyperlink" Target="https://linear.app/los-5-furiosos/issue/SINS-26" TargetMode="External" Id="rId16" /><Relationship Type="http://schemas.openxmlformats.org/officeDocument/2006/relationships/hyperlink" Target="https://linear.app/los-5-furiosos/issue/SINS-42" TargetMode="External" Id="rId17" /><Relationship Type="http://schemas.openxmlformats.org/officeDocument/2006/relationships/hyperlink" Target="https://linear.app/los-5-furiosos/issue/SINS-43" TargetMode="External" Id="rId18" /><Relationship Type="http://schemas.openxmlformats.org/officeDocument/2006/relationships/hyperlink" Target="https://linear.app/los-5-furiosos/issue/SINS-27" TargetMode="External" Id="rId19" /><Relationship Type="http://schemas.openxmlformats.org/officeDocument/2006/relationships/hyperlink" Target="https://linear.app/los-5-furiosos/issue/SINS-3" TargetMode="External" Id="rId20" /><Relationship Type="http://schemas.openxmlformats.org/officeDocument/2006/relationships/hyperlink" Target="https://linear.app/los-5-furiosos/issue/SINS-12" TargetMode="External" Id="rId21" /><Relationship Type="http://schemas.openxmlformats.org/officeDocument/2006/relationships/hyperlink" Target="https://linear.app/los-5-furiosos/issue/SINS-13" TargetMode="External" Id="rId22" /><Relationship Type="http://schemas.openxmlformats.org/officeDocument/2006/relationships/hyperlink" Target="https://linear.app/los-5-furiosos/issue/SINS-14" TargetMode="External" Id="rId23" /><Relationship Type="http://schemas.openxmlformats.org/officeDocument/2006/relationships/hyperlink" Target="https://linear.app/los-5-furiosos/issue/SINS-15" TargetMode="External" Id="rId24" /><Relationship Type="http://schemas.openxmlformats.org/officeDocument/2006/relationships/hyperlink" Target="https://linear.app/los-5-furiosos/issue/SINS-28" TargetMode="External" Id="rId25" /><Relationship Type="http://schemas.openxmlformats.org/officeDocument/2006/relationships/hyperlink" Target="https://linear.app/los-5-furiosos/issue/SINS-52" TargetMode="External" Id="rId26" /><Relationship Type="http://schemas.openxmlformats.org/officeDocument/2006/relationships/hyperlink" Target="https://linear.app/los-5-furiosos/issue/SINS-57" TargetMode="External" Id="rId27" /><Relationship Type="http://schemas.openxmlformats.org/officeDocument/2006/relationships/hyperlink" Target="https://linear.app/los-5-furiosos/issue/SINS-4" TargetMode="External" Id="rId28" /><Relationship Type="http://schemas.openxmlformats.org/officeDocument/2006/relationships/hyperlink" Target="https://linear.app/los-5-furiosos/issue/SINS-5" TargetMode="External" Id="rId29" /><Relationship Type="http://schemas.openxmlformats.org/officeDocument/2006/relationships/hyperlink" Target="https://linear.app/los-5-furiosos/issue/SINS-6" TargetMode="External" Id="rId30" /><Relationship Type="http://schemas.openxmlformats.org/officeDocument/2006/relationships/hyperlink" Target="https://linear.app/los-5-furiosos/issue/SINS-16" TargetMode="External" Id="rId31" /><Relationship Type="http://schemas.openxmlformats.org/officeDocument/2006/relationships/hyperlink" Target="https://linear.app/los-5-furiosos/issue/SINS-7" TargetMode="External" Id="rId32" /><Relationship Type="http://schemas.openxmlformats.org/officeDocument/2006/relationships/hyperlink" Target="https://linear.app/los-5-furiosos/issue/SINS-60" TargetMode="External" Id="rId33" /><Relationship Type="http://schemas.openxmlformats.org/officeDocument/2006/relationships/hyperlink" Target="https://linear.app/los-5-furiosos/issue/SINS-8" TargetMode="External" Id="rId34" /><Relationship Type="http://schemas.openxmlformats.org/officeDocument/2006/relationships/hyperlink" Target="https://linear.app/los-5-furiosos/issue/SINS-62" TargetMode="External" Id="rId35" /><Relationship Type="http://schemas.openxmlformats.org/officeDocument/2006/relationships/hyperlink" Target="https://linear.app/los-5-furiosos/issue/SINS-17" TargetMode="External" Id="rId36" /><Relationship Type="http://schemas.openxmlformats.org/officeDocument/2006/relationships/hyperlink" Target="https://linear.app/los-5-furiosos/issue/SINS-18" TargetMode="External" Id="rId37" /><Relationship Type="http://schemas.openxmlformats.org/officeDocument/2006/relationships/hyperlink" Target="https://linear.app/los-5-furiosos/issue/SINS-29" TargetMode="External" Id="rId38" /><Relationship Type="http://schemas.openxmlformats.org/officeDocument/2006/relationships/hyperlink" Target="https://linear.app/los-5-furiosos/issue/SINS-44" TargetMode="External" Id="rId39" /><Relationship Type="http://schemas.openxmlformats.org/officeDocument/2006/relationships/hyperlink" Target="https://linear.app/los-5-furiosos/issue/SINS-9" TargetMode="External" Id="rId40" /><Relationship Type="http://schemas.openxmlformats.org/officeDocument/2006/relationships/hyperlink" Target="https://linear.app/los-5-furiosos/issue/SINS-19" TargetMode="External" Id="rId41" /><Relationship Type="http://schemas.openxmlformats.org/officeDocument/2006/relationships/hyperlink" Target="https://linear.app/los-5-furiosos/issue/SINS-20" TargetMode="External" Id="rId42" /><Relationship Type="http://schemas.openxmlformats.org/officeDocument/2006/relationships/hyperlink" Target="https://linear.app/los-5-furiosos/issue/SINS-30" TargetMode="External" Id="rId43" /><Relationship Type="http://schemas.openxmlformats.org/officeDocument/2006/relationships/hyperlink" Target="https://linear.app/los-5-furiosos/issue/SINS-45" TargetMode="External" Id="rId44" /><Relationship Type="http://schemas.openxmlformats.org/officeDocument/2006/relationships/hyperlink" Target="https://linear.app/los-5-furiosos/issue/SINS-31" TargetMode="External" Id="rId45" /><Relationship Type="http://schemas.openxmlformats.org/officeDocument/2006/relationships/hyperlink" Target="https://linear.app/los-5-furiosos/issue/SINS-32" TargetMode="External" Id="rId46" /><Relationship Type="http://schemas.openxmlformats.org/officeDocument/2006/relationships/hyperlink" Target="https://linear.app/los-5-furiosos/issue/SINS-33" TargetMode="External" Id="rId47" /><Relationship Type="http://schemas.openxmlformats.org/officeDocument/2006/relationships/hyperlink" Target="https://linear.app/los-5-furiosos/issue/SINS-46" TargetMode="External" Id="rId48" /><Relationship Type="http://schemas.openxmlformats.org/officeDocument/2006/relationships/hyperlink" Target="https://linear.app/los-5-furiosos/issue/SINS-34" TargetMode="External" Id="rId49" /><Relationship Type="http://schemas.openxmlformats.org/officeDocument/2006/relationships/hyperlink" Target="https://linear.app/los-5-furiosos/issue/SINS-35" TargetMode="External" Id="rId50" /><Relationship Type="http://schemas.openxmlformats.org/officeDocument/2006/relationships/hyperlink" Target="https://linear.app/los-5-furiosos/issue/SINS-36" TargetMode="External" Id="rId51" /><Relationship Type="http://schemas.openxmlformats.org/officeDocument/2006/relationships/hyperlink" Target="https://linear.app/los-5-furiosos/issue/SINS-47" TargetMode="External" Id="rId52" /><Relationship Type="http://schemas.openxmlformats.org/officeDocument/2006/relationships/hyperlink" Target="https://linear.app/los-5-furiosos/issue/SINS-61" TargetMode="External" Id="rId53" /><Relationship Type="http://schemas.openxmlformats.org/officeDocument/2006/relationships/hyperlink" Target="https://linear.app/los-5-furiosos/issue/SINS-48" TargetMode="External" Id="rId54" /><Relationship Type="http://schemas.openxmlformats.org/officeDocument/2006/relationships/hyperlink" Target="https://linear.app/los-5-furiosos/issue/SINS-37" TargetMode="External" Id="rId55" /><Relationship Type="http://schemas.openxmlformats.org/officeDocument/2006/relationships/hyperlink" Target="https://linear.app/los-5-furiosos/issue/SINS-38" TargetMode="External" Id="rId56" /><Relationship Type="http://schemas.openxmlformats.org/officeDocument/2006/relationships/hyperlink" Target="https://linear.app/los-5-furiosos/issue/SINS-63" TargetMode="External" Id="rId57" /><Relationship Type="http://schemas.openxmlformats.org/officeDocument/2006/relationships/hyperlink" Target="https://linear.app/los-5-furiosos/issue/SINS-49" TargetMode="External" Id="rId58" /><Relationship Type="http://schemas.openxmlformats.org/officeDocument/2006/relationships/hyperlink" Target="https://linear.app/los-5-furiosos/issue/SINS-50" TargetMode="External" Id="rId59" /><Relationship Type="http://schemas.openxmlformats.org/officeDocument/2006/relationships/hyperlink" Target="https://linear.app/los-5-furiosos/issue/SINS-21" TargetMode="External" Id="rId60" /><Relationship Type="http://schemas.openxmlformats.org/officeDocument/2006/relationships/hyperlink" Target="https://linear.app/los-5-furiosos/issue/SINS-39" TargetMode="External" Id="rId61" /><Relationship Type="http://schemas.openxmlformats.org/officeDocument/2006/relationships/hyperlink" Target="https://linear.app/los-5-furiosos/issue/SINS-64" TargetMode="External" Id="rId62" /><Relationship Type="http://schemas.openxmlformats.org/officeDocument/2006/relationships/hyperlink" Target="https://linear.app/los-5-furiosos/issue/SINS-65" TargetMode="External" Id="rId63" /><Relationship Type="http://schemas.openxmlformats.org/officeDocument/2006/relationships/hyperlink" Target="https://linear.app/los-5-furiosos/issue/SINS-53" TargetMode="External" Id="rId64" /><Relationship Type="http://schemas.openxmlformats.org/officeDocument/2006/relationships/hyperlink" Target="https://linear.app/los-5-furiosos/issue/SINS-54" TargetMode="External" Id="rId65" /><Relationship Type="http://schemas.openxmlformats.org/officeDocument/2006/relationships/hyperlink" Target="https://linear.app/los-5-furiosos/issue/SINS-40" TargetMode="External" Id="rId66" /><Relationship Type="http://schemas.openxmlformats.org/officeDocument/2006/relationships/hyperlink" Target="https://linear.app/los-5-furiosos/issue/SINS-67" TargetMode="External" Id="rId67" /><Relationship Type="http://schemas.openxmlformats.org/officeDocument/2006/relationships/hyperlink" Target="https://linear.app/los-5-furiosos/issue/SINS-58" TargetMode="External" Id="rId68" /><Relationship Type="http://schemas.openxmlformats.org/officeDocument/2006/relationships/hyperlink" Target="https://linear.app/los-5-furiosos/issue/SINS-70" TargetMode="External" Id="rId69" /><Relationship Type="http://schemas.openxmlformats.org/officeDocument/2006/relationships/hyperlink" Target="https://linear.app/los-5-furiosos/issue/SINS-68" TargetMode="External" Id="rId70" /><Relationship Type="http://schemas.openxmlformats.org/officeDocument/2006/relationships/hyperlink" Target="https://linear.app/los-5-furiosos/issue/SINS-71" TargetMode="External" Id="rId71" /><Relationship Type="http://schemas.openxmlformats.org/officeDocument/2006/relationships/hyperlink" Target="https://linear.app/los-5-furiosos/issue/SINS-72" TargetMode="External" Id="rId72" /><Relationship Type="http://schemas.openxmlformats.org/officeDocument/2006/relationships/hyperlink" Target="https://linear.app/los-5-furiosos/issue/SINS-73" TargetMode="External" Id="rId73" /></Relationships>
</file>

<file path=xl/worksheets/sheet1.xml><?xml version="1.0" encoding="utf-8"?>
<worksheet xmlns="http://schemas.openxmlformats.org/spreadsheetml/2006/main">
  <sheetPr>
    <tabColor rgb="000F783C"/>
    <outlinePr summaryBelow="1" summaryRight="1"/>
    <pageSetUpPr/>
  </sheetPr>
  <dimension ref="A1:H61"/>
  <sheetViews>
    <sheetView showGridLines="0" workbookViewId="0">
      <selection activeCell="A1" sqref="A1"/>
    </sheetView>
  </sheetViews>
  <sheetFormatPr baseColWidth="8" defaultRowHeight="15"/>
  <cols>
    <col width="26" customWidth="1" min="1" max="1"/>
    <col width="30" customWidth="1" min="2" max="2"/>
    <col width="52" customWidth="1" min="3" max="3"/>
    <col width="12" customWidth="1" min="4" max="4"/>
    <col width="12" customWidth="1" min="5" max="5"/>
    <col width="12" customWidth="1" min="6" max="6"/>
    <col width="12" customWidth="1" min="7" max="7"/>
    <col width="12" customWidth="1" min="8" max="8"/>
  </cols>
  <sheetData>
    <row r="1">
      <c r="A1" s="1" t="inlineStr">
        <is>
          <t>MedicalSys — Proyecto de Seguridad de Sistemas (SIS 321)</t>
        </is>
      </c>
    </row>
    <row r="2">
      <c r="A2" s="2" t="inlineStr">
        <is>
          <t>Plan del sprint sáb 10 → mar 13 (entrega 1) → jue 15 (entrega 2) · Equipo Linear: Los 6 Siniestros</t>
        </is>
      </c>
    </row>
    <row r="4">
      <c r="A4" s="3" t="inlineStr">
        <is>
          <t>Objetivo del sprint</t>
        </is>
      </c>
    </row>
    <row r="5" ht="45" customHeight="1">
      <c r="A5" s="4" t="inlineStr">
        <is>
          <t>El martes 13 por la mañana presentamos MedicalSys con su seguridad FUNCIONANDO EN VIVO (usuarios, roles y contraseñas, corrección OWASP, logs de seguridad, escaneo antes/después, criptografía e integridad) y el informe SIS 321 completo con sus anexos GRC. El jueves 15 entregamos los detalles pendientes (entrega 2).</t>
        </is>
      </c>
    </row>
    <row r="7">
      <c r="A7" s="5" t="inlineStr">
        <is>
          <t>Avance general</t>
        </is>
      </c>
      <c r="B7" s="6">
        <f>IFERROR(COUNTIF(Tareas!$S$5:$S$77,"Hecha")/(COUNTA(Tareas!$A$5:$A$77)-COUNTIF(Tareas!$S$5:$S$77,"Cancelada")),0)</f>
        <v/>
      </c>
      <c r="C7" s="7" t="inlineStr">
        <is>
          <t>Tareas hechas / tareas vigentes (calculado desde la hoja Tareas)</t>
        </is>
      </c>
    </row>
    <row r="8">
      <c r="A8" s="5" t="inlineStr">
        <is>
          <t>Tareas en total</t>
        </is>
      </c>
      <c r="B8" s="8">
        <f>COUNTA(Tareas!$A$5:$A$77)</f>
        <v/>
      </c>
    </row>
    <row r="9">
      <c r="A9" s="5" t="inlineStr">
        <is>
          <t>Horas estimadas en total</t>
        </is>
      </c>
      <c r="B9" s="8">
        <f>SUM(Tareas!$M$5:$M$77)</f>
        <v/>
      </c>
    </row>
    <row r="10">
      <c r="A10" s="5" t="inlineStr">
        <is>
          <t>Bloqueadas ahora</t>
        </is>
      </c>
      <c r="B10" s="8">
        <f>COUNTIF(Tareas!$S$5:$S$77,"Bloqueada")</f>
        <v/>
      </c>
    </row>
    <row r="11">
      <c r="A11" s="5" t="inlineStr">
        <is>
          <t>Proyecto en Linear</t>
        </is>
      </c>
      <c r="B11" s="9" t="inlineStr">
        <is>
          <t>https://linear.app/los-5-furiosos/project/medicalsys-proyecto-seguridad-sis-321-d51e6b35ec22</t>
        </is>
      </c>
    </row>
    <row r="13">
      <c r="A13" s="3" t="inlineStr">
        <is>
          <t>Equipo y frentes de trabajo</t>
        </is>
      </c>
    </row>
    <row r="14">
      <c r="A14" s="10" t="inlineStr">
        <is>
          <t>Persona</t>
        </is>
      </c>
      <c r="B14" s="10" t="inlineStr">
        <is>
          <t>Rol</t>
        </is>
      </c>
      <c r="C14" s="10" t="inlineStr">
        <is>
          <t>Frente (secciones del informe)</t>
        </is>
      </c>
      <c r="D14" s="10" t="inlineStr">
        <is>
          <t>Tareas</t>
        </is>
      </c>
      <c r="E14" s="10" t="inlineStr">
        <is>
          <t>Horas</t>
        </is>
      </c>
      <c r="F14" s="10" t="inlineStr">
        <is>
          <t>Hechas</t>
        </is>
      </c>
      <c r="G14" s="10" t="inlineStr">
        <is>
          <t>% avance</t>
        </is>
      </c>
    </row>
    <row r="15">
      <c r="A15" s="11" t="inlineStr">
        <is>
          <t>Nicole</t>
        </is>
      </c>
      <c r="B15" s="12" t="inlineStr">
        <is>
          <t>Tech Lead / Scrum Master</t>
        </is>
      </c>
      <c r="C15" s="12" t="inlineStr">
        <is>
          <t>Identidad y Keycloak (9.1, 9.3), code freeze, sección 9.1/9.3</t>
        </is>
      </c>
      <c r="D15" s="13">
        <f>COUNTIF(Tareas!$D$5:$D$77,A15)</f>
        <v/>
      </c>
      <c r="E15" s="48">
        <f>SUMIF(Tareas!$D$5:$D$77,A15,Tareas!$M$5:$M$77)</f>
        <v/>
      </c>
      <c r="F15" s="13">
        <f>COUNTIFS(Tareas!$D$5:$D$77,A15,Tareas!$S$5:$S$77,"Hecha")</f>
        <v/>
      </c>
      <c r="G15" s="15">
        <f>IFERROR(F15/D15,0)</f>
        <v/>
      </c>
    </row>
    <row r="16">
      <c r="A16" s="16" t="inlineStr">
        <is>
          <t>Franco</t>
        </is>
      </c>
      <c r="B16" s="12" t="inlineStr">
        <is>
          <t>Desarrollador</t>
        </is>
      </c>
      <c r="C16" s="12" t="inlineStr">
        <is>
          <t>Roles y autorización granular (9.2), principios de diseño seguro (10)</t>
        </is>
      </c>
      <c r="D16" s="13">
        <f>COUNTIF(Tareas!$D$5:$D$77,A16)</f>
        <v/>
      </c>
      <c r="E16" s="48">
        <f>SUMIF(Tareas!$D$5:$D$77,A16,Tareas!$M$5:$M$77)</f>
        <v/>
      </c>
      <c r="F16" s="13">
        <f>COUNTIFS(Tareas!$D$5:$D$77,A16,Tareas!$S$5:$S$77,"Hecha")</f>
        <v/>
      </c>
      <c r="G16" s="15">
        <f>IFERROR(F16/D16,0)</f>
        <v/>
      </c>
    </row>
    <row r="17">
      <c r="A17" s="17" t="inlineStr">
        <is>
          <t>Juanjo</t>
        </is>
      </c>
      <c r="B17" s="12" t="inlineStr">
        <is>
          <t>Desarrollador</t>
        </is>
      </c>
      <c r="C17" s="12" t="inlineStr">
        <is>
          <t>Hardening OWASP (11), escaneo de vulnerabilidades (13), despliegue público</t>
        </is>
      </c>
      <c r="D17" s="13">
        <f>COUNTIF(Tareas!$D$5:$D$77,A17)</f>
        <v/>
      </c>
      <c r="E17" s="48">
        <f>SUMIF(Tareas!$D$5:$D$77,A17,Tareas!$M$5:$M$77)</f>
        <v/>
      </c>
      <c r="F17" s="13">
        <f>COUNTIFS(Tareas!$D$5:$D$77,A17,Tareas!$S$5:$S$77,"Hecha")</f>
        <v/>
      </c>
      <c r="G17" s="15">
        <f>IFERROR(F17/D17,0)</f>
        <v/>
      </c>
    </row>
    <row r="18">
      <c r="A18" s="18" t="inlineStr">
        <is>
          <t>Alvaro</t>
        </is>
      </c>
      <c r="B18" s="12" t="inlineStr">
        <is>
          <t>Desarrollador</t>
        </is>
      </c>
      <c r="C18" s="12" t="inlineStr">
        <is>
          <t>Criptografía, integridad por hash/checksum, logs de seguridad (12)</t>
        </is>
      </c>
      <c r="D18" s="13">
        <f>COUNTIF(Tareas!$D$5:$D$77,A18)</f>
        <v/>
      </c>
      <c r="E18" s="48">
        <f>SUMIF(Tareas!$D$5:$D$77,A18,Tareas!$M$5:$M$77)</f>
        <v/>
      </c>
      <c r="F18" s="13">
        <f>COUNTIFS(Tareas!$D$5:$D$77,A18,Tareas!$S$5:$S$77,"Hecha")</f>
        <v/>
      </c>
      <c r="G18" s="15">
        <f>IFERROR(F18/D18,0)</f>
        <v/>
      </c>
    </row>
    <row r="19">
      <c r="A19" s="19" t="inlineStr">
        <is>
          <t>Alan</t>
        </is>
      </c>
      <c r="B19" s="12" t="inlineStr">
        <is>
          <t>Analista GRC / Editor del informe</t>
        </is>
      </c>
      <c r="C19" s="12" t="inlineStr">
        <is>
          <t>ISO 27002 2022 y 2013, fichas de brechas, riesgos y KRIs (14), consolidación del informe</t>
        </is>
      </c>
      <c r="D19" s="13">
        <f>COUNTIF(Tareas!$D$5:$D$77,A19)</f>
        <v/>
      </c>
      <c r="E19" s="48">
        <f>SUMIF(Tareas!$D$5:$D$77,A19,Tareas!$M$5:$M$77)</f>
        <v/>
      </c>
      <c r="F19" s="13">
        <f>COUNTIFS(Tareas!$D$5:$D$77,A19,Tareas!$S$5:$S$77,"Hecha")</f>
        <v/>
      </c>
      <c r="G19" s="15">
        <f>IFERROR(F19/D19,0)</f>
        <v/>
      </c>
    </row>
    <row r="20">
      <c r="A20" s="20" t="inlineStr">
        <is>
          <t>Favian</t>
        </is>
      </c>
      <c r="B20" s="12" t="inlineStr">
        <is>
          <t>Analista GRC</t>
        </is>
      </c>
      <c r="C20" s="12" t="inlineStr">
        <is>
          <t>Clasificación de la información, políticas generales, gestor de contraseñas, módulo 15, presentación y póster</t>
        </is>
      </c>
      <c r="D20" s="13">
        <f>COUNTIF(Tareas!$D$5:$D$77,A20)</f>
        <v/>
      </c>
      <c r="E20" s="48">
        <f>SUMIF(Tareas!$D$5:$D$77,A20,Tareas!$M$5:$M$77)</f>
        <v/>
      </c>
      <c r="F20" s="13">
        <f>COUNTIFS(Tareas!$D$5:$D$77,A20,Tareas!$S$5:$S$77,"Hecha")</f>
        <v/>
      </c>
      <c r="G20" s="15">
        <f>IFERROR(F20/D20,0)</f>
        <v/>
      </c>
    </row>
    <row r="22">
      <c r="A22" s="3" t="inlineStr">
        <is>
          <t>Hitos</t>
        </is>
      </c>
    </row>
    <row r="23">
      <c r="A23" s="10" t="inlineStr">
        <is>
          <t>Cuándo</t>
        </is>
      </c>
      <c r="B23" s="10" t="inlineStr">
        <is>
          <t>Hito</t>
        </is>
      </c>
      <c r="C23" s="10" t="inlineStr">
        <is>
          <t>Qué tiene que estar listo</t>
        </is>
      </c>
    </row>
    <row r="24">
      <c r="A24" s="12" t="inlineStr">
        <is>
          <t>Sáb 10 · 09:00</t>
        </is>
      </c>
      <c r="B24" s="21" t="inlineStr">
        <is>
          <t>Kickoff (C-01)</t>
        </is>
      </c>
      <c r="C24" s="12" t="inlineStr">
        <is>
          <t>Decisiones registradas en la hoja «Decisiones». Todos con acceso a Linear, repo y carpeta.</t>
        </is>
      </c>
      <c r="D24" s="22" t="n"/>
      <c r="E24" s="22" t="n"/>
      <c r="F24" s="22" t="n"/>
      <c r="G24" s="22" t="n"/>
      <c r="H24" s="23" t="n"/>
    </row>
    <row r="25">
      <c r="A25" s="12" t="inlineStr">
        <is>
          <t>Sáb 10 · 11:00</t>
        </is>
      </c>
      <c r="B25" s="21" t="inlineStr">
        <is>
          <t>Plantillas listas</t>
        </is>
      </c>
      <c r="C25" s="12" t="inlineStr">
        <is>
          <t>Plantilla del informe (INF-00) y de políticas/procedimientos (GRC-00).</t>
        </is>
      </c>
      <c r="D25" s="22" t="n"/>
      <c r="E25" s="22" t="n"/>
      <c r="F25" s="22" t="n"/>
      <c r="G25" s="22" t="n"/>
      <c r="H25" s="23" t="n"/>
    </row>
    <row r="26">
      <c r="A26" s="12" t="inlineStr">
        <is>
          <t>Sáb 10 · 14:00</t>
        </is>
      </c>
      <c r="B26" s="21" t="inlineStr">
        <is>
          <t>Escaneo «antes»</t>
        </is>
      </c>
      <c r="C26" s="12" t="inlineStr">
        <is>
          <t>VULN-01 terminado: recién desde aquí se pueden mergear correcciones de seguridad.</t>
        </is>
      </c>
      <c r="D26" s="22" t="n"/>
      <c r="E26" s="22" t="n"/>
      <c r="F26" s="22" t="n"/>
      <c r="G26" s="22" t="n"/>
      <c r="H26" s="23" t="n"/>
    </row>
    <row r="27">
      <c r="A27" s="12" t="inlineStr">
        <is>
          <t>Sáb 10 · 18:00</t>
        </is>
      </c>
      <c r="B27" s="21" t="inlineStr">
        <is>
          <t>Go/no-go Keycloak</t>
        </is>
      </c>
      <c r="C27" s="12" t="inlineStr">
        <is>
          <t>Si el spike IAM-01 no funciona, se activa el plan B IAM-07 (políticas nativas).</t>
        </is>
      </c>
      <c r="D27" s="22" t="n"/>
      <c r="E27" s="22" t="n"/>
      <c r="F27" s="22" t="n"/>
      <c r="G27" s="22" t="n"/>
      <c r="H27" s="23" t="n"/>
    </row>
    <row r="28">
      <c r="A28" s="12" t="inlineStr">
        <is>
          <t>Dom 11 · 22:00</t>
        </is>
      </c>
      <c r="B28" s="21" t="inlineStr">
        <is>
          <t>Backend de seguridad completo</t>
        </is>
      </c>
      <c r="C28" s="12" t="inlineStr">
        <is>
          <t>Login con Keycloak, desbloqueo y reinicio, API de roles, autorización por permisos, hardening.</t>
        </is>
      </c>
      <c r="D28" s="22" t="n"/>
      <c r="E28" s="22" t="n"/>
      <c r="F28" s="22" t="n"/>
      <c r="G28" s="22" t="n"/>
      <c r="H28" s="23" t="n"/>
    </row>
    <row r="29">
      <c r="A29" s="12" t="inlineStr">
        <is>
          <t>Lun 12 · 18:00</t>
        </is>
      </c>
      <c r="B29" s="21" t="inlineStr">
        <is>
          <t>CODE FREEZE (C-03)</t>
        </is>
      </c>
      <c r="C29" s="12" t="inlineStr">
        <is>
          <t>Merge a develop, tag v-seg-1, despliegue estable, smoke test.</t>
        </is>
      </c>
      <c r="D29" s="22" t="n"/>
      <c r="E29" s="22" t="n"/>
      <c r="F29" s="22" t="n"/>
      <c r="G29" s="22" t="n"/>
      <c r="H29" s="23" t="n"/>
    </row>
    <row r="30">
      <c r="A30" s="12" t="inlineStr">
        <is>
          <t>Lun 12 · 19:00</t>
        </is>
      </c>
      <c r="B30" s="21" t="inlineStr">
        <is>
          <t>Secciones del informe</t>
        </is>
      </c>
      <c r="C30" s="12" t="inlineStr">
        <is>
          <t>INF-02 a INF-08 redactadas; Alan consolida.</t>
        </is>
      </c>
      <c r="D30" s="22" t="n"/>
      <c r="E30" s="22" t="n"/>
      <c r="F30" s="22" t="n"/>
      <c r="G30" s="22" t="n"/>
      <c r="H30" s="23" t="n"/>
    </row>
    <row r="31">
      <c r="A31" s="12" t="inlineStr">
        <is>
          <t>Lun 12 · 21:30</t>
        </is>
      </c>
      <c r="B31" s="21" t="inlineStr">
        <is>
          <t>Ensayo de defensa (C-04)</t>
        </is>
      </c>
      <c r="C31" s="12" t="inlineStr">
        <is>
          <t>Todos explican todo; banco de preguntas de la hoja «Defensa».</t>
        </is>
      </c>
      <c r="D31" s="22" t="n"/>
      <c r="E31" s="22" t="n"/>
      <c r="F31" s="22" t="n"/>
      <c r="G31" s="22" t="n"/>
      <c r="H31" s="23" t="n"/>
    </row>
    <row r="32">
      <c r="A32" s="12" t="inlineStr">
        <is>
          <t>Lun 12 · 23:00</t>
        </is>
      </c>
      <c r="B32" s="21" t="inlineStr">
        <is>
          <t>PDF + presentación</t>
        </is>
      </c>
      <c r="C32" s="12" t="inlineStr">
        <is>
          <t>ProyNombreGrupo-1.pdf y PresNombreGrupo-1.pdf; subida al LMS antes de las 23:59.</t>
        </is>
      </c>
      <c r="D32" s="22" t="n"/>
      <c r="E32" s="22" t="n"/>
      <c r="F32" s="22" t="n"/>
      <c r="G32" s="22" t="n"/>
      <c r="H32" s="23" t="n"/>
    </row>
    <row r="33">
      <c r="A33" s="12" t="inlineStr">
        <is>
          <t>Mar 13 · 07:00</t>
        </is>
      </c>
      <c r="B33" s="21" t="inlineStr">
        <is>
          <t>Ensayo final</t>
        </is>
      </c>
      <c r="C33" s="12" t="inlineStr">
        <is>
          <t>Demo cronometrada (&lt; 8 min) y presentación.</t>
        </is>
      </c>
      <c r="D33" s="22" t="n"/>
      <c r="E33" s="22" t="n"/>
      <c r="F33" s="22" t="n"/>
      <c r="G33" s="22" t="n"/>
      <c r="H33" s="23" t="n"/>
    </row>
    <row r="34">
      <c r="A34" s="12" t="inlineStr">
        <is>
          <t>Jue 15</t>
        </is>
      </c>
      <c r="B34" s="21" t="inlineStr">
        <is>
          <t>Entrega 2</t>
        </is>
      </c>
      <c r="C34" s="12" t="inlineStr">
        <is>
          <t>Observaciones del martes, póster y opcionales (IAM-08, HARD-05); archivos -2.pdf.</t>
        </is>
      </c>
      <c r="D34" s="22" t="n"/>
      <c r="E34" s="22" t="n"/>
      <c r="F34" s="22" t="n"/>
      <c r="G34" s="22" t="n"/>
      <c r="H34" s="23" t="n"/>
    </row>
    <row r="36">
      <c r="A36" s="3" t="inlineStr">
        <is>
          <t>Reglas de trabajo</t>
        </is>
      </c>
    </row>
    <row r="37" ht="28" customHeight="1">
      <c r="A37" s="5" t="inlineStr">
        <is>
          <t>•</t>
        </is>
      </c>
      <c r="B37" s="4" t="inlineStr">
        <is>
          <t>Dailies de 15 minutos a las 9:00 y a las 21:00. El tablero de Linear es la fuente de verdad: mover la tarea en cuanto cambie de estado.</t>
        </is>
      </c>
    </row>
    <row r="38" ht="28" customHeight="1">
      <c r="A38" s="5" t="inlineStr">
        <is>
          <t>•</t>
        </is>
      </c>
      <c r="B38" s="4" t="inlineStr">
        <is>
          <t>Ramas seg/&lt;ID&gt;-descripcion (ej. seg/RBAC-03-permisos) → PR a develop con revisión cruzada (Nicole↔Franco, Juanjo↔Alvaro).</t>
        </is>
      </c>
    </row>
    <row r="39" ht="28" customHeight="1">
      <c r="A39" s="5" t="inlineStr">
        <is>
          <t>•</t>
        </is>
      </c>
      <c r="B39" s="4" t="inlineStr">
        <is>
          <t>Cada tarea de código deja evidencia ANTES y DESPUÉS (captura, curl o reporte) en 09-Evidencias/&lt;ID&gt;. El informe se arma con eso.</t>
        </is>
      </c>
    </row>
    <row r="40" ht="28" customHeight="1">
      <c r="A40" s="5" t="inlineStr">
        <is>
          <t>•</t>
        </is>
      </c>
      <c r="B40" s="4" t="inlineStr">
        <is>
          <t>Ninguna corrección de seguridad se mergea antes de que exista el escaneo «antes» (VULN-01).</t>
        </is>
      </c>
    </row>
    <row r="41" ht="28" customHeight="1">
      <c r="A41" s="5" t="inlineStr">
        <is>
          <t>•</t>
        </is>
      </c>
      <c r="B41" s="4" t="inlineStr">
        <is>
          <t>Secretos y contraseñas: nunca en el chat ni en el repo; solo en la bóveda KeePassXC (PWM-01).</t>
        </is>
      </c>
    </row>
    <row r="42" ht="28" customHeight="1">
      <c r="A42" s="5" t="inlineStr">
        <is>
          <t>•</t>
        </is>
      </c>
      <c r="B42" s="4" t="inlineStr">
        <is>
          <t>Nombres de entrega: ProyNombreGrupo-N.pdf y PresNombreGrupo-N.pdf (N = 1 el martes, 2 el jueves).</t>
        </is>
      </c>
    </row>
    <row r="43" ht="28" customHeight="1">
      <c r="A43" s="5" t="inlineStr">
        <is>
          <t>•</t>
        </is>
      </c>
      <c r="B43" s="4" t="inlineStr">
        <is>
          <t>Defensa individual = 60 % de la nota: cada uno estudia también lo que hicieron los demás (hoja «Defensa»).</t>
        </is>
      </c>
    </row>
    <row r="45">
      <c r="A45" s="3" t="inlineStr">
        <is>
          <t>Riesgos del sprint</t>
        </is>
      </c>
    </row>
    <row r="46">
      <c r="A46" s="10" t="inlineStr">
        <is>
          <t>Riesgo</t>
        </is>
      </c>
      <c r="B46" s="10" t="inlineStr">
        <is>
          <t>Mitigación</t>
        </is>
      </c>
      <c r="C46" s="10" t="inlineStr">
        <is>
          <t>Responsable</t>
        </is>
      </c>
    </row>
    <row r="47" ht="42" customHeight="1">
      <c r="A47" s="12" t="inlineStr">
        <is>
          <t>Regla del LMS: el PDF pide subir los documentos dos días antes de la defensa. Si el martes es la defensa, la entrega 1 vencía el domingo 11.</t>
        </is>
      </c>
      <c r="B47" s="12" t="inlineStr">
        <is>
          <t>C-02 lo confirma el sábado a las 12:00. Si aplica, ENT-03 pasa al domingo con una versión preliminar.</t>
        </is>
      </c>
      <c r="C47" s="22" t="n"/>
      <c r="D47" s="22" t="n"/>
      <c r="E47" s="22" t="n"/>
      <c r="F47" s="22" t="n"/>
      <c r="G47" s="23" t="n"/>
      <c r="H47" s="12" t="inlineStr">
        <is>
          <t>Alan</t>
        </is>
      </c>
    </row>
    <row r="48" ht="42" customHeight="1">
      <c r="A48" s="12" t="inlineStr">
        <is>
          <t>La integración con Keycloak se complica.</t>
        </is>
      </c>
      <c r="B48" s="12" t="inlineStr">
        <is>
          <t>Spike con timebox de 4 h y go/no-go el sábado 18:00. Plan B: IAM-07.</t>
        </is>
      </c>
      <c r="C48" s="22" t="n"/>
      <c r="D48" s="22" t="n"/>
      <c r="E48" s="22" t="n"/>
      <c r="F48" s="22" t="n"/>
      <c r="G48" s="23" t="n"/>
      <c r="H48" s="12" t="inlineStr">
        <is>
          <t>Nicole</t>
        </is>
      </c>
    </row>
    <row r="49" ht="42" customHeight="1">
      <c r="A49" s="12" t="inlineStr">
        <is>
          <t>Cruce con el Sprint 3 de DoggyCredit (mismo equipo, termina el martes 13).</t>
        </is>
      </c>
      <c r="B49" s="12" t="inlineStr">
        <is>
          <t>Acordar en el kickoff cuántas horas se dedican a cada proyecto.</t>
        </is>
      </c>
      <c r="C49" s="22" t="n"/>
      <c r="D49" s="22" t="n"/>
      <c r="E49" s="22" t="n"/>
      <c r="F49" s="22" t="n"/>
      <c r="G49" s="23" t="n"/>
      <c r="H49" s="12" t="inlineStr">
        <is>
          <t>Nicole</t>
        </is>
      </c>
    </row>
    <row r="50" ht="42" customHeight="1">
      <c r="A50" s="12" t="inlineStr">
        <is>
          <t>Alan y Favian todavía no están en Linear.</t>
        </is>
      </c>
      <c r="B50" s="12" t="inlineStr">
        <is>
          <t>Nicole les envía la invitación al equipo Los 6 Siniestros; sus tareas ya llevan su nombre en el título.</t>
        </is>
      </c>
      <c r="C50" s="22" t="n"/>
      <c r="D50" s="22" t="n"/>
      <c r="E50" s="22" t="n"/>
      <c r="F50" s="22" t="n"/>
      <c r="G50" s="23" t="n"/>
      <c r="H50" s="12" t="inlineStr">
        <is>
          <t>Nicole</t>
        </is>
      </c>
    </row>
    <row r="51" ht="42" customHeight="1">
      <c r="A51" s="12" t="inlineStr">
        <is>
          <t>Sobrecarga el lunes (code freeze + redacción + PDF).</t>
        </is>
      </c>
      <c r="B51" s="12" t="inlineStr">
        <is>
          <t>Las secciones se redactan en borrador apenas termina cada tarea; el lunes solo se ajustan.</t>
        </is>
      </c>
      <c r="C51" s="22" t="n"/>
      <c r="D51" s="22" t="n"/>
      <c r="E51" s="22" t="n"/>
      <c r="F51" s="22" t="n"/>
      <c r="G51" s="23" t="n"/>
      <c r="H51" s="12" t="inlineStr">
        <is>
          <t>Todos</t>
        </is>
      </c>
    </row>
    <row r="53">
      <c r="A53" s="3" t="inlineStr">
        <is>
          <t>Hojas de este archivo</t>
        </is>
      </c>
    </row>
    <row r="54">
      <c r="A54" s="21" t="inlineStr">
        <is>
          <t>Tareas</t>
        </is>
      </c>
      <c r="B54" s="12" t="inlineStr">
        <is>
          <t>Las 73 tareas con responsable, fecha y hora límite, dependencias, criterio de aceptación y evidencia. Editar solo Estado y Notas.</t>
        </is>
      </c>
      <c r="C54" s="22" t="n"/>
      <c r="D54" s="22" t="n"/>
      <c r="E54" s="22" t="n"/>
      <c r="F54" s="22" t="n"/>
      <c r="G54" s="22" t="n"/>
      <c r="H54" s="23" t="n"/>
    </row>
    <row r="55">
      <c r="A55" s="21" t="inlineStr">
        <is>
          <t>Carga</t>
        </is>
      </c>
      <c r="B55" s="12" t="inlineStr">
        <is>
          <t>Horas por persona y día, y avance (calculado).</t>
        </is>
      </c>
      <c r="C55" s="22" t="n"/>
      <c r="D55" s="22" t="n"/>
      <c r="E55" s="22" t="n"/>
      <c r="F55" s="22" t="n"/>
      <c r="G55" s="22" t="n"/>
      <c r="H55" s="23" t="n"/>
    </row>
    <row r="56">
      <c r="A56" s="21" t="inlineStr">
        <is>
          <t>Cronograma</t>
        </is>
      </c>
      <c r="B56" s="12" t="inlineStr">
        <is>
          <t>Qué vence en cada bloque del día, por persona, con los hitos del equipo.</t>
        </is>
      </c>
      <c r="C56" s="22" t="n"/>
      <c r="D56" s="22" t="n"/>
      <c r="E56" s="22" t="n"/>
      <c r="F56" s="22" t="n"/>
      <c r="G56" s="22" t="n"/>
      <c r="H56" s="23" t="n"/>
    </row>
    <row r="57">
      <c r="A57" s="21" t="inlineStr">
        <is>
          <t>Dependencias</t>
        </is>
      </c>
      <c r="B57" s="12" t="inlineStr">
        <is>
          <t>Ruta crítica y cadenas de dependencia por frente.</t>
        </is>
      </c>
      <c r="C57" s="22" t="n"/>
      <c r="D57" s="22" t="n"/>
      <c r="E57" s="22" t="n"/>
      <c r="F57" s="22" t="n"/>
      <c r="G57" s="22" t="n"/>
      <c r="H57" s="23" t="n"/>
    </row>
    <row r="58">
      <c r="A58" s="21" t="inlineStr">
        <is>
          <t>Cobertura PDF</t>
        </is>
      </c>
      <c r="B58" s="12" t="inlineStr">
        <is>
          <t>Cada exigencia del PDF de la docente y cada documento extra pedido → tareas que lo cubren.</t>
        </is>
      </c>
      <c r="C58" s="22" t="n"/>
      <c r="D58" s="22" t="n"/>
      <c r="E58" s="22" t="n"/>
      <c r="F58" s="22" t="n"/>
      <c r="G58" s="22" t="n"/>
      <c r="H58" s="23" t="n"/>
    </row>
    <row r="59">
      <c r="A59" s="21" t="inlineStr">
        <is>
          <t>Documentos</t>
        </is>
      </c>
      <c r="B59" s="12" t="inlineStr">
        <is>
          <t>Catálogo de todos los documentos a producir (políticas, procedimientos, matrices…) con estado automático.</t>
        </is>
      </c>
      <c r="C59" s="22" t="n"/>
      <c r="D59" s="22" t="n"/>
      <c r="E59" s="22" t="n"/>
      <c r="F59" s="22" t="n"/>
      <c r="G59" s="22" t="n"/>
      <c r="H59" s="23" t="n"/>
    </row>
    <row r="60">
      <c r="A60" s="21" t="inlineStr">
        <is>
          <t>Decisiones</t>
        </is>
      </c>
      <c r="B60" s="12" t="inlineStr">
        <is>
          <t>Lo que se decide en el kickoff (propuestas ya cargadas; completar la columna amarilla).</t>
        </is>
      </c>
      <c r="C60" s="22" t="n"/>
      <c r="D60" s="22" t="n"/>
      <c r="E60" s="22" t="n"/>
      <c r="F60" s="22" t="n"/>
      <c r="G60" s="22" t="n"/>
      <c r="H60" s="23" t="n"/>
    </row>
    <row r="61">
      <c r="A61" s="21" t="inlineStr">
        <is>
          <t>Defensa</t>
        </is>
      </c>
      <c r="B61" s="12" t="inlineStr">
        <is>
          <t>Banco de preguntas para preparar la defensa individual (60 % de la nota).</t>
        </is>
      </c>
      <c r="C61" s="22" t="n"/>
      <c r="D61" s="22" t="n"/>
      <c r="E61" s="22" t="n"/>
      <c r="F61" s="22" t="n"/>
      <c r="G61" s="22" t="n"/>
      <c r="H61" s="23" t="n"/>
    </row>
  </sheetData>
  <mergeCells count="32">
    <mergeCell ref="C25:H25"/>
    <mergeCell ref="B40:H40"/>
    <mergeCell ref="C31:H31"/>
    <mergeCell ref="B55:H55"/>
    <mergeCell ref="B41:H41"/>
    <mergeCell ref="C27:H27"/>
    <mergeCell ref="B49:G49"/>
    <mergeCell ref="B54:H54"/>
    <mergeCell ref="B59:H59"/>
    <mergeCell ref="B51:G51"/>
    <mergeCell ref="C32:H32"/>
    <mergeCell ref="B56:H56"/>
    <mergeCell ref="C28:H28"/>
    <mergeCell ref="B58:H58"/>
    <mergeCell ref="B43:H43"/>
    <mergeCell ref="B39:H39"/>
    <mergeCell ref="B50:G50"/>
    <mergeCell ref="A5:H5"/>
    <mergeCell ref="B42:H42"/>
    <mergeCell ref="C34:H34"/>
    <mergeCell ref="B60:H60"/>
    <mergeCell ref="C30:H30"/>
    <mergeCell ref="B61:H61"/>
    <mergeCell ref="C33:H33"/>
    <mergeCell ref="B47:G47"/>
    <mergeCell ref="C24:H24"/>
    <mergeCell ref="B57:H57"/>
    <mergeCell ref="B38:H38"/>
    <mergeCell ref="C29:H29"/>
    <mergeCell ref="C26:H26"/>
    <mergeCell ref="B48:G48"/>
    <mergeCell ref="B37:H37"/>
  </mergeCells>
  <conditionalFormatting sqref="G15:G20">
    <cfRule type="dataBar" priority="1">
      <dataBar>
        <cfvo type="num" val="0"/>
        <cfvo type="num" val="1"/>
        <color rgb="0063BE7B"/>
      </dataBar>
    </cfRule>
  </conditionalFormatting>
  <hyperlinks>
    <hyperlink xmlns:r="http://schemas.openxmlformats.org/officeDocument/2006/relationships" ref="B11" r:id="rId1"/>
  </hyperlinks>
  <pageMargins left="0.75" right="0.75" top="1" bottom="1" header="0.5" footer="0.5"/>
</worksheet>
</file>

<file path=xl/worksheets/sheet2.xml><?xml version="1.0" encoding="utf-8"?>
<worksheet xmlns="http://schemas.openxmlformats.org/spreadsheetml/2006/main">
  <sheetPr>
    <tabColor rgb="000F783C"/>
    <outlinePr summaryBelow="1" summaryRight="1"/>
    <pageSetUpPr/>
  </sheetPr>
  <dimension ref="A1:T77"/>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42" customWidth="1" min="3" max="3"/>
    <col width="13" customWidth="1" min="4" max="4"/>
    <col width="13" customWidth="1" min="5" max="5"/>
    <col width="22" customWidth="1" min="6" max="6"/>
    <col width="15" customWidth="1" min="7" max="7"/>
    <col width="14" customWidth="1" min="8" max="8"/>
    <col width="9" customWidth="1" min="9" max="9"/>
    <col width="12" customWidth="1" min="10" max="10"/>
    <col width="9" customWidth="1" min="11" max="11"/>
    <col width="10" customWidth="1" min="12" max="12"/>
    <col width="9" customWidth="1" min="13" max="13"/>
    <col width="22" customWidth="1" min="14" max="14"/>
    <col width="22" customWidth="1" min="15" max="15"/>
    <col width="70" customWidth="1" min="16" max="16"/>
    <col width="45" customWidth="1" min="17" max="17"/>
    <col width="30" customWidth="1" min="18" max="18"/>
    <col width="13" customWidth="1" min="19" max="19"/>
    <col width="30" customWidth="1" min="20" max="20"/>
  </cols>
  <sheetData>
    <row r="1">
      <c r="A1" s="1" t="inlineStr">
        <is>
          <t>Backlog del sprint — tareas, responsables y dependencias</t>
        </is>
      </c>
    </row>
    <row r="2">
      <c r="A2" s="2" t="inlineStr">
        <is>
          <t>Fuente única. Editar solo la columna Estado (desplegable) y Notas. El resto se mantiene sincronizado con Linear.</t>
        </is>
      </c>
    </row>
    <row r="3">
      <c r="A3" s="24" t="inlineStr">
        <is>
          <t>Leyenda: celdas amarillas = editables. Prioridad: Urgente = ruta crítica del sábado · Alta = necesaria para el martes · Media = martes si alcanza · Baja = jueves / opcional / plan B.</t>
        </is>
      </c>
    </row>
    <row r="4">
      <c r="A4" s="10" t="inlineStr">
        <is>
          <t>ID</t>
        </is>
      </c>
      <c r="B4" s="10" t="inlineStr">
        <is>
          <t>Linear</t>
        </is>
      </c>
      <c r="C4" s="10" t="inlineStr">
        <is>
          <t>Tarea</t>
        </is>
      </c>
      <c r="D4" s="10" t="inlineStr">
        <is>
          <t>Responsable</t>
        </is>
      </c>
      <c r="E4" s="10" t="inlineStr">
        <is>
          <t>Apoyo</t>
        </is>
      </c>
      <c r="F4" s="10" t="inlineStr">
        <is>
          <t>Frente</t>
        </is>
      </c>
      <c r="G4" s="10" t="inlineStr">
        <is>
          <t>Tipo</t>
        </is>
      </c>
      <c r="H4" s="10" t="inlineStr">
        <is>
          <t>Sección del informe</t>
        </is>
      </c>
      <c r="I4" s="10" t="inlineStr">
        <is>
          <t>Día</t>
        </is>
      </c>
      <c r="J4" s="10" t="inlineStr">
        <is>
          <t>Fecha límite</t>
        </is>
      </c>
      <c r="K4" s="10" t="inlineStr">
        <is>
          <t>Hora límite</t>
        </is>
      </c>
      <c r="L4" s="10" t="inlineStr">
        <is>
          <t>Prioridad</t>
        </is>
      </c>
      <c r="M4" s="10" t="inlineStr">
        <is>
          <t>Horas est.</t>
        </is>
      </c>
      <c r="N4" s="10" t="inlineStr">
        <is>
          <t>Depende de</t>
        </is>
      </c>
      <c r="O4" s="10" t="inlineStr">
        <is>
          <t>Bloquea a</t>
        </is>
      </c>
      <c r="P4" s="10" t="inlineStr">
        <is>
          <t>Qué hacer</t>
        </is>
      </c>
      <c r="Q4" s="10" t="inlineStr">
        <is>
          <t>Criterio de aceptación</t>
        </is>
      </c>
      <c r="R4" s="10" t="inlineStr">
        <is>
          <t>Evidencia / entregable</t>
        </is>
      </c>
      <c r="S4" s="10" t="inlineStr">
        <is>
          <t>Estado</t>
        </is>
      </c>
      <c r="T4" s="10" t="inlineStr">
        <is>
          <t>Notas / bloqueos</t>
        </is>
      </c>
    </row>
    <row r="5">
      <c r="A5" s="25" t="inlineStr">
        <is>
          <t>C-01</t>
        </is>
      </c>
      <c r="B5" s="26" t="inlineStr">
        <is>
          <t>SINS-1</t>
        </is>
      </c>
      <c r="C5" s="21" t="inlineStr">
        <is>
          <t>Kickoff y decisiones de diseño</t>
        </is>
      </c>
      <c r="D5" s="27" t="inlineStr">
        <is>
          <t>Nicole</t>
        </is>
      </c>
      <c r="E5" s="12" t="inlineStr">
        <is>
          <t>Todos</t>
        </is>
      </c>
      <c r="F5" s="12" t="inlineStr">
        <is>
          <t>Coordinación</t>
        </is>
      </c>
      <c r="G5" s="12" t="inlineStr">
        <is>
          <t>Coordinación</t>
        </is>
      </c>
      <c r="H5" s="12" t="inlineStr">
        <is>
          <t>—</t>
        </is>
      </c>
      <c r="I5" s="13" t="inlineStr">
        <is>
          <t>Sáb 10</t>
        </is>
      </c>
      <c r="J5" s="28" t="n">
        <v>46305</v>
      </c>
      <c r="K5" s="13" t="inlineStr">
        <is>
          <t>10:00</t>
        </is>
      </c>
      <c r="L5" s="13" t="inlineStr">
        <is>
          <t>Urgente</t>
        </is>
      </c>
      <c r="M5" s="48" t="n">
        <v>1</v>
      </c>
      <c r="N5" s="12" t="inlineStr">
        <is>
          <t>—</t>
        </is>
      </c>
      <c r="O5" s="12" t="inlineStr">
        <is>
          <t>IAM-01, IAM-04, PWM-01, RBAC-01, GRC-00, GRC-01, MOD15-01, PO-03, INF-00</t>
        </is>
      </c>
      <c r="P5" s="12" t="inlineStr">
        <is>
          <t>Reunión de arranque (9:00–10:00, todos). Decidir y registrar en la hoja «Decisiones» del Excel: (1) parámetros de la política de contraseñas; (2) formato del User ID; (3) tema del módulo 15; (4) Keycloak como gestor de identidades y KeePassXC como gestor de contraseñas; (5) nombre del grupo para los archivos; (6) carpeta compartida y convención de ramas; (7) horario de dailies; (8) prioridad frente al Sprint 3 de DoggyCredit. Confirmar que Alan y Favian ya aceptaron la invitación a Linear (equipo Los 6 Siniestros), al repo y a la carpeta compartida.</t>
        </is>
      </c>
      <c r="Q5" s="12" t="inlineStr">
        <is>
          <t>Hoja Decisiones completa y comunicada. Las 6 personas tienen acceso a Linear, al repo y a la carpeta compartida.</t>
        </is>
      </c>
      <c r="R5" s="12" t="inlineStr">
        <is>
          <t>Hoja «Decisiones» del Excel completa</t>
        </is>
      </c>
      <c r="S5" s="29" t="inlineStr">
        <is>
          <t>Pendiente</t>
        </is>
      </c>
      <c r="T5" s="30" t="inlineStr"/>
    </row>
    <row r="6">
      <c r="A6" s="25" t="inlineStr">
        <is>
          <t>C-02</t>
        </is>
      </c>
      <c r="B6" s="26" t="inlineStr">
        <is>
          <t>SINS-2</t>
        </is>
      </c>
      <c r="C6" s="21" t="inlineStr">
        <is>
          <t>Confirmar con la docente las reglas de entrega</t>
        </is>
      </c>
      <c r="D6" s="31" t="inlineStr">
        <is>
          <t>Alan</t>
        </is>
      </c>
      <c r="E6" s="12" t="inlineStr">
        <is>
          <t>Nicole</t>
        </is>
      </c>
      <c r="F6" s="12" t="inlineStr">
        <is>
          <t>Coordinación</t>
        </is>
      </c>
      <c r="G6" s="12" t="inlineStr">
        <is>
          <t>Coordinación</t>
        </is>
      </c>
      <c r="H6" s="12" t="inlineStr">
        <is>
          <t>Entregables</t>
        </is>
      </c>
      <c r="I6" s="13" t="inlineStr">
        <is>
          <t>Sáb 10</t>
        </is>
      </c>
      <c r="J6" s="28" t="n">
        <v>46305</v>
      </c>
      <c r="K6" s="13" t="inlineStr">
        <is>
          <t>12:00</t>
        </is>
      </c>
      <c r="L6" s="13" t="inlineStr">
        <is>
          <t>Urgente</t>
        </is>
      </c>
      <c r="M6" s="48" t="n">
        <v>0.5</v>
      </c>
      <c r="N6" s="12" t="inlineStr">
        <is>
          <t>—</t>
        </is>
      </c>
      <c r="O6" s="12" t="inlineStr">
        <is>
          <t>ENT-02</t>
        </is>
      </c>
      <c r="P6" s="12" t="inlineStr">
        <is>
          <t>Confirmar con la Mgr. Ing. Lourdes Peredo: (a) si el martes 13 es la defensa o un avance. El PDF exige subir los documentos al LMS dos días antes de la defensa; si aplica, la entrega 1 vence el domingo 11. (b) Formato del póster. (c) Versión de ISO 27002 esperada. (d) Qué se exige en la entrega 1 y qué en la entrega 2.</t>
        </is>
      </c>
      <c r="Q6" s="12" t="inlineStr">
        <is>
          <t>Respuestas registradas en «Decisiones». Si aplica la regla de los 2 días, ENT-03 se re-planifica al domingo 11 (23:59).</t>
        </is>
      </c>
      <c r="R6" s="12" t="inlineStr">
        <is>
          <t>Mensaje o captura con la respuesta de la docente</t>
        </is>
      </c>
      <c r="S6" s="29" t="inlineStr">
        <is>
          <t>Pendiente</t>
        </is>
      </c>
      <c r="T6" s="30" t="inlineStr"/>
    </row>
    <row r="7">
      <c r="A7" s="25" t="inlineStr">
        <is>
          <t>C-03</t>
        </is>
      </c>
      <c r="B7" s="26" t="inlineStr">
        <is>
          <t>SINS-66</t>
        </is>
      </c>
      <c r="C7" s="21" t="inlineStr">
        <is>
          <t>Code freeze, merge a develop y despliegue estable</t>
        </is>
      </c>
      <c r="D7" s="27" t="inlineStr">
        <is>
          <t>Nicole</t>
        </is>
      </c>
      <c r="E7" s="12" t="inlineStr">
        <is>
          <t>Todos los devs</t>
        </is>
      </c>
      <c r="F7" s="12" t="inlineStr">
        <is>
          <t>Coordinación</t>
        </is>
      </c>
      <c r="G7" s="12" t="inlineStr">
        <is>
          <t>Coordinación</t>
        </is>
      </c>
      <c r="H7" s="12" t="inlineStr">
        <is>
          <t>8, demo</t>
        </is>
      </c>
      <c r="I7" s="13" t="inlineStr">
        <is>
          <t>Lun 12</t>
        </is>
      </c>
      <c r="J7" s="28" t="n">
        <v>46307</v>
      </c>
      <c r="K7" s="13" t="inlineStr">
        <is>
          <t>18:00</t>
        </is>
      </c>
      <c r="L7" s="13" t="inlineStr">
        <is>
          <t>Urgente</t>
        </is>
      </c>
      <c r="M7" s="48" t="n">
        <v>2</v>
      </c>
      <c r="N7" s="12" t="inlineStr">
        <is>
          <t>IAM-06, RBAC-05, LOG-04, HARD-04, CRY-02, DEP-01</t>
        </is>
      </c>
      <c r="O7" s="12" t="inlineStr">
        <is>
          <t>C-04</t>
        </is>
      </c>
      <c r="P7" s="12" t="inlineStr">
        <is>
          <t>Congelar el código a las 18:00. Mergear a develop las ramas seg/* revisadas, crear el tag v-seg-1 y redesplegar. Smoke test de la demo completa con un usuario por rol. Generar SHA256SUMS de los artefactos (script de CRY-03).</t>
        </is>
      </c>
      <c r="Q7" s="12" t="inlineStr">
        <is>
          <t>La demo completa funciona en el enlace público y no queda ningún PR de seguridad abierto.</t>
        </is>
      </c>
      <c r="R7" s="12" t="inlineStr">
        <is>
          <t>Tag v-seg-1, checklist de smoke test, SHA256SUMS</t>
        </is>
      </c>
      <c r="S7" s="29" t="inlineStr">
        <is>
          <t>En curso</t>
        </is>
      </c>
      <c r="T7" s="30" t="inlineStr">
        <is>
          <t>[Corregido 24/10] CI/CD del backend reactivado por Alvaro (push a main despliega) y del frontend reactivado. En producción, GATEWAY_ALLOWED_ORIGINS debe incluir https://medicalsys.los5furiosos.cloud o el login falla por CORS.
[Revisión de código 23/10] Merge de todas las ramas a develop y main hecho (4d0f660), con pruebas unitarias y e2e en verde. Falta: tag v-seg-1, SHA256SUMS de la entrega y despliegue en el enlace público.</t>
        </is>
      </c>
    </row>
    <row r="8">
      <c r="A8" s="25" t="inlineStr">
        <is>
          <t>C-04</t>
        </is>
      </c>
      <c r="B8" s="26" t="inlineStr">
        <is>
          <t>SINS-69</t>
        </is>
      </c>
      <c r="C8" s="21" t="inlineStr">
        <is>
          <t>Ensayo de defensa individual (60 % de la nota)</t>
        </is>
      </c>
      <c r="D8" s="27" t="inlineStr">
        <is>
          <t>Nicole</t>
        </is>
      </c>
      <c r="E8" s="12" t="inlineStr">
        <is>
          <t>Todos</t>
        </is>
      </c>
      <c r="F8" s="12" t="inlineStr">
        <is>
          <t>Coordinación</t>
        </is>
      </c>
      <c r="G8" s="12" t="inlineStr">
        <is>
          <t>Coordinación</t>
        </is>
      </c>
      <c r="H8" s="12" t="inlineStr">
        <is>
          <t>Defensa</t>
        </is>
      </c>
      <c r="I8" s="13" t="inlineStr">
        <is>
          <t>Mar 13</t>
        </is>
      </c>
      <c r="J8" s="28" t="n">
        <v>46308</v>
      </c>
      <c r="K8" s="13" t="inlineStr">
        <is>
          <t>07:30</t>
        </is>
      </c>
      <c r="L8" s="13" t="inlineStr">
        <is>
          <t>Urgente</t>
        </is>
      </c>
      <c r="M8" s="48" t="n">
        <v>2</v>
      </c>
      <c r="N8" s="12" t="inlineStr">
        <is>
          <t>ENT-01, C-03</t>
        </is>
      </c>
      <c r="O8" s="12" t="inlineStr">
        <is>
          <t>—</t>
        </is>
      </c>
      <c r="P8" s="12" t="inlineStr">
        <is>
          <t>Lunes 21:30 y martes 7:00. Cada integrante explica el sistema COMPLETO, no solo su parte. Ronda de preguntas cruzadas con el banco de la hoja «Defensa» (por qué Argon2id, mediación completa, hash vs HMAC, KRIs, ISO 2013 vs 2022…). Guion de demo con tiempos.</t>
        </is>
      </c>
      <c r="Q8" s="12" t="inlineStr">
        <is>
          <t>Las 6 personas responden al menos 10 preguntas del banco sin apoyo y la demo dura menos de 8 minutos.</t>
        </is>
      </c>
      <c r="R8" s="12" t="inlineStr">
        <is>
          <t>Guion de demo con responsables y tiempos</t>
        </is>
      </c>
      <c r="S8" s="29" t="inlineStr">
        <is>
          <t>Pendiente</t>
        </is>
      </c>
      <c r="T8" s="30" t="inlineStr"/>
    </row>
    <row r="9">
      <c r="A9" s="25" t="inlineStr">
        <is>
          <t>IAM-01</t>
        </is>
      </c>
      <c r="B9" s="26" t="inlineStr">
        <is>
          <t>SINS-10</t>
        </is>
      </c>
      <c r="C9" s="21" t="inlineStr">
        <is>
          <t>Spike Keycloak + go/no-go (timebox 4 h)</t>
        </is>
      </c>
      <c r="D9" s="27" t="inlineStr">
        <is>
          <t>Nicole</t>
        </is>
      </c>
      <c r="E9" s="12" t="inlineStr">
        <is>
          <t>Juanjo</t>
        </is>
      </c>
      <c r="F9" s="12" t="inlineStr">
        <is>
          <t>Identidad y contraseñas</t>
        </is>
      </c>
      <c r="G9" s="12" t="inlineStr">
        <is>
          <t>Código</t>
        </is>
      </c>
      <c r="H9" s="12" t="inlineStr">
        <is>
          <t>9.1, 9.3</t>
        </is>
      </c>
      <c r="I9" s="13" t="inlineStr">
        <is>
          <t>Sáb 10</t>
        </is>
      </c>
      <c r="J9" s="28" t="n">
        <v>46305</v>
      </c>
      <c r="K9" s="13" t="inlineStr">
        <is>
          <t>18:00</t>
        </is>
      </c>
      <c r="L9" s="13" t="inlineStr">
        <is>
          <t>Urgente</t>
        </is>
      </c>
      <c r="M9" s="48" t="n">
        <v>4</v>
      </c>
      <c r="N9" s="12" t="inlineStr">
        <is>
          <t>C-01</t>
        </is>
      </c>
      <c r="O9" s="12" t="inlineStr">
        <is>
          <t>IAM-02, IAM-04, IAM-07, PWM-01</t>
        </is>
      </c>
      <c r="P9" s="12" t="inlineStr">
        <is>
          <t>Agregar Keycloak (imagen quay.io/keycloak/keycloak con versión fija) a compose.yaml, con base «keycloak» en el Postgres existente. Crear el realm «medicalsys», exportarlo a infra/keycloak/realm-medicalsys.json e importarlo al arrancar. Crear el cliente confidencial «ms-identidad» con Direct Access Grants y service account con el rol manage-users (realm-management). Probar el token endpoint con un usuario de prueba. Go/no-go a las 18:00: si falla, se activa IAM-07 (plan B).</t>
        </is>
      </c>
      <c r="Q9" s="12" t="inlineStr">
        <is>
          <t>docker compose up keycloak arranca con el realm importado, se obtiene un token de un usuario de prueba y la decisión go/no-go queda registrada en Linear.</t>
        </is>
      </c>
      <c r="R9" s="12" t="inlineStr">
        <is>
          <t>Captura de la consola de Keycloak y respuesta del token endpoint</t>
        </is>
      </c>
      <c r="S9" s="29" t="inlineStr">
        <is>
          <t>Hecha</t>
        </is>
      </c>
      <c r="T9" s="30" t="inlineStr">
        <is>
          <t>[Revisión de código 23/10] Keycloak 26.7.5 con el realm medicalsys importado; smoke-token.sh en verde. Decisión GO.</t>
        </is>
      </c>
    </row>
    <row r="10">
      <c r="A10" s="25" t="inlineStr">
        <is>
          <t>IAM-02</t>
        </is>
      </c>
      <c r="B10" s="26" t="inlineStr">
        <is>
          <t>SINS-41</t>
        </is>
      </c>
      <c r="C10" s="21" t="inlineStr">
        <is>
          <t>Política de contraseñas y bloqueo al 3er intento en Keycloak</t>
        </is>
      </c>
      <c r="D10" s="27" t="inlineStr">
        <is>
          <t>Nicole</t>
        </is>
      </c>
      <c r="E10" s="12" t="inlineStr">
        <is>
          <t>Favian</t>
        </is>
      </c>
      <c r="F10" s="12" t="inlineStr">
        <is>
          <t>Identidad y contraseñas</t>
        </is>
      </c>
      <c r="G10" s="12" t="inlineStr">
        <is>
          <t>Código</t>
        </is>
      </c>
      <c r="H10" s="12" t="inlineStr">
        <is>
          <t>9.3</t>
        </is>
      </c>
      <c r="I10" s="13" t="inlineStr">
        <is>
          <t>Sáb 10</t>
        </is>
      </c>
      <c r="J10" s="28" t="n">
        <v>46305</v>
      </c>
      <c r="K10" s="13" t="inlineStr">
        <is>
          <t>22:00</t>
        </is>
      </c>
      <c r="L10" s="13" t="inlineStr">
        <is>
          <t>Urgente</t>
        </is>
      </c>
      <c r="M10" s="48" t="n">
        <v>2</v>
      </c>
      <c r="N10" s="12" t="inlineStr">
        <is>
          <t>IAM-01, PO-03</t>
        </is>
      </c>
      <c r="O10" s="12" t="inlineStr">
        <is>
          <t>IAM-03</t>
        </is>
      </c>
      <c r="P10" s="12" t="inlineStr">
        <is>
          <t>Password policy del realm (con los valores de PO-03): length(12), maxLength(64), upperCase(1), lowerCase(1), digits(1), specialChars(1), notUsername, notEmail, passwordHistory(5), forceExpiredPasswordChange(90) y hashAlgorithm(argon2). Brute force detection con failureFactor=3 y permanentLockout=true (desbloqueo solo por un administrador). Re-exportar el realm.</t>
        </is>
      </c>
      <c r="Q10" s="12" t="inlineStr">
        <is>
          <t>Hay una captura por cada regla rechazando una contraseña inválida, 3 intentos fallidos bloquean la cuenta y la configuración está versionada en el repo.</t>
        </is>
      </c>
      <c r="R10" s="12" t="inlineStr">
        <is>
          <t>Capturas de cada regla y realm-medicalsys.json actualizado</t>
        </is>
      </c>
      <c r="S10" s="29" t="inlineStr">
        <is>
          <t>Hecha</t>
        </is>
      </c>
      <c r="T10" s="30" t="inlineStr">
        <is>
          <t>[Revisión de código 23/10] policy-check.sh en verde: 9 reglas, histórico de 5, Argon2id y bloqueo permanente al 3er intento. Realm versionado en infra/keycloak.</t>
        </is>
      </c>
    </row>
    <row r="11">
      <c r="A11" s="25" t="inlineStr">
        <is>
          <t>IAM-03</t>
        </is>
      </c>
      <c r="B11" s="26" t="inlineStr">
        <is>
          <t>SINS-51</t>
        </is>
      </c>
      <c r="C11" s="21" t="inlineStr">
        <is>
          <t>Login de MedicalSys delegado a Keycloak</t>
        </is>
      </c>
      <c r="D11" s="27" t="inlineStr">
        <is>
          <t>Nicole</t>
        </is>
      </c>
      <c r="E11" s="12" t="inlineStr">
        <is>
          <t>Alvaro</t>
        </is>
      </c>
      <c r="F11" s="12" t="inlineStr">
        <is>
          <t>Identidad y contraseñas</t>
        </is>
      </c>
      <c r="G11" s="12" t="inlineStr">
        <is>
          <t>Código</t>
        </is>
      </c>
      <c r="H11" s="12" t="inlineStr">
        <is>
          <t>9.3</t>
        </is>
      </c>
      <c r="I11" s="13" t="inlineStr">
        <is>
          <t>Dom 11</t>
        </is>
      </c>
      <c r="J11" s="28" t="n">
        <v>46306</v>
      </c>
      <c r="K11" s="13" t="inlineStr">
        <is>
          <t>17:00</t>
        </is>
      </c>
      <c r="L11" s="13" t="inlineStr">
        <is>
          <t>Urgente</t>
        </is>
      </c>
      <c r="M11" s="48" t="n">
        <v>5</v>
      </c>
      <c r="N11" s="12" t="inlineStr">
        <is>
          <t>IAM-02</t>
        </is>
      </c>
      <c r="O11" s="12" t="inlineStr">
        <is>
          <t>IAM-05, IAM-08, DEP-01</t>
        </is>
      </c>
      <c r="P11" s="12" t="inlineStr">
        <is>
          <t>AuthService.login valida las credenciales contra el token endpoint de Keycloak (cliente confidencial) y mapea las respuestas: credenciales inválidas → 401 genérico, cuenta bloqueada → 423, «Account is not fully set up» o contraseña vencida → 403 con PASSWORD_CHANGE_REQUIRED. Si el login es válido, emite el JWT propio de MedicalSys con roles y permisos; el contrato de /auth/login no cambia y el frontend no se toca. Migrar los usuarios demo a Keycloak; password_hash local deja de usarse.</t>
        </is>
      </c>
      <c r="Q11" s="12" t="inlineStr">
        <is>
          <t>Los 4 casos (ok, inválida, bloqueada, vencida) se demuestran con curl, los tests de AuthService pasan y el frontend sigue iniciando sesión.</t>
        </is>
      </c>
      <c r="R11" s="12" t="inlineStr">
        <is>
          <t>Colección curl/Postman y PR mergeado</t>
        </is>
      </c>
      <c r="S11" s="29" t="inlineStr">
        <is>
          <t>Hecha</t>
        </is>
      </c>
      <c r="T11" s="30" t="inlineStr">
        <is>
          <t>[Revisión de código 23/10] Login delegado a Keycloak: 200, 401 genérico, 423 bloqueada y 403 PASSWORD_CHANGE_REQUIRED verificados (login-keycloak.sh y e2e.sh). Tests de AuthService.</t>
        </is>
      </c>
    </row>
    <row r="12">
      <c r="A12" s="25" t="inlineStr">
        <is>
          <t>IAM-04</t>
        </is>
      </c>
      <c r="B12" s="26" t="inlineStr">
        <is>
          <t>SINS-22</t>
        </is>
      </c>
      <c r="C12" s="21" t="inlineStr">
        <is>
          <t>ABM de usuarios sincronizado con Keycloak + User ID estándar</t>
        </is>
      </c>
      <c r="D12" s="27" t="inlineStr">
        <is>
          <t>Nicole</t>
        </is>
      </c>
      <c r="E12" s="12" t="inlineStr">
        <is>
          <t>Franco</t>
        </is>
      </c>
      <c r="F12" s="12" t="inlineStr">
        <is>
          <t>Identidad y contraseñas</t>
        </is>
      </c>
      <c r="G12" s="12" t="inlineStr">
        <is>
          <t>Código</t>
        </is>
      </c>
      <c r="H12" s="12" t="inlineStr">
        <is>
          <t>9.1</t>
        </is>
      </c>
      <c r="I12" s="13" t="inlineStr">
        <is>
          <t>Dom 11</t>
        </is>
      </c>
      <c r="J12" s="28" t="n">
        <v>46306</v>
      </c>
      <c r="K12" s="13" t="inlineStr">
        <is>
          <t>13:00</t>
        </is>
      </c>
      <c r="L12" s="13" t="inlineStr">
        <is>
          <t>Alta</t>
        </is>
      </c>
      <c r="M12" s="48" t="n">
        <v>5</v>
      </c>
      <c r="N12" s="12" t="inlineStr">
        <is>
          <t>IAM-01, C-01</t>
        </is>
      </c>
      <c r="O12" s="12" t="inlineStr">
        <is>
          <t>IAM-05, IAM-06, LOG-02, PR-01</t>
        </is>
      </c>
      <c r="P12" s="12" t="inlineStr">
        <is>
          <t>Migración nueva en ms-identidad: columna user_code única e inmutable con el formato acordado en C-01 (propuesta MS-26-00001), generada por secuencia y nunca reutilizada. El alta crea el usuario en Keycloak (Admin REST API) con contraseña temporal y la acción requerida UPDATE_PASSWORD. La baja deshabilita, nunca borra, para conservar la trazabilidad. La modificación sincroniza nombre, correo y estado.</t>
        </is>
      </c>
      <c r="Q12" s="12" t="inlineStr">
        <is>
          <t>Alta, baja y modificación se reflejan en Keycloak y en MedicalSys, el User ID respeta el formato y la validación está cubierta por tests.</t>
        </is>
      </c>
      <c r="R12" s="12" t="inlineStr">
        <is>
          <t>Capturas de alta/baja/modificación y PR</t>
        </is>
      </c>
      <c r="S12" s="29" t="inlineStr">
        <is>
          <t>Hecha</t>
        </is>
      </c>
      <c r="T12" s="30" t="inlineStr">
        <is>
          <t>[Revisión de código 23/10] Alta, modificación y baja sincronizadas con Keycloak (la baja deshabilita, no borra). User ID MS-AA-NNNNN (migración V7) con tests.</t>
        </is>
      </c>
    </row>
    <row r="13">
      <c r="A13" s="25" t="inlineStr">
        <is>
          <t>IAM-05</t>
        </is>
      </c>
      <c r="B13" s="26" t="inlineStr">
        <is>
          <t>SINS-55</t>
        </is>
      </c>
      <c r="C13" s="21" t="inlineStr">
        <is>
          <t>Desbloqueo, reinicio y cambio de contraseña</t>
        </is>
      </c>
      <c r="D13" s="27" t="inlineStr">
        <is>
          <t>Nicole</t>
        </is>
      </c>
      <c r="E13" s="12" t="inlineStr">
        <is>
          <t>—</t>
        </is>
      </c>
      <c r="F13" s="12" t="inlineStr">
        <is>
          <t>Identidad y contraseñas</t>
        </is>
      </c>
      <c r="G13" s="12" t="inlineStr">
        <is>
          <t>Código</t>
        </is>
      </c>
      <c r="H13" s="12" t="inlineStr">
        <is>
          <t>9.3</t>
        </is>
      </c>
      <c r="I13" s="13" t="inlineStr">
        <is>
          <t>Dom 11</t>
        </is>
      </c>
      <c r="J13" s="28" t="n">
        <v>46306</v>
      </c>
      <c r="K13" s="13" t="inlineStr">
        <is>
          <t>22:00</t>
        </is>
      </c>
      <c r="L13" s="13" t="inlineStr">
        <is>
          <t>Alta</t>
        </is>
      </c>
      <c r="M13" s="48" t="n">
        <v>3</v>
      </c>
      <c r="N13" s="12" t="inlineStr">
        <is>
          <t>IAM-03, IAM-04</t>
        </is>
      </c>
      <c r="O13" s="12" t="inlineStr">
        <is>
          <t>IAM-06, LOG-02, PR-02, INF-02</t>
        </is>
      </c>
      <c r="P13" s="12" t="inlineStr">
        <is>
          <t>POST /api/v1/identity/users/{id}/unlock (permiso identity.user.unlock): limpia el bloqueo por fuerza bruta en Keycloak. POST /users/{id}/reset-password (identity.user.reset): contraseña temporal y cambio obligatorio. /auth/change-password resuelve también el caso de contraseña vencida; Keycloak valida el historial y la complejidad.</t>
        </is>
      </c>
      <c r="Q13" s="12" t="inlineStr">
        <is>
          <t>Demo completa: 3 intentos bloquean → se desbloquea desde la app → reinicio → cambio forzado → reutilizar una contraseña anterior es rechazado.</t>
        </is>
      </c>
      <c r="R13" s="12" t="inlineStr">
        <is>
          <t>Video corto o secuencia de capturas</t>
        </is>
      </c>
      <c r="S13" s="29" t="inlineStr">
        <is>
          <t>Hecha</t>
        </is>
      </c>
      <c r="T13" s="30" t="inlineStr">
        <is>
          <t>[Revisión de código 23/10] Bloqueo al 3er intento → desbloqueo → reinicio con temporal → cambio forzado → reutilizar anterior rechazado (desbloqueo-reinicio.sh).</t>
        </is>
      </c>
    </row>
    <row r="14">
      <c r="A14" s="25" t="inlineStr">
        <is>
          <t>IAM-06</t>
        </is>
      </c>
      <c r="B14" s="26" t="inlineStr">
        <is>
          <t>SINS-59</t>
        </is>
      </c>
      <c r="C14" s="21" t="inlineStr">
        <is>
          <t>Pantallas de gestión de usuarios (frontend)</t>
        </is>
      </c>
      <c r="D14" s="27" t="inlineStr">
        <is>
          <t>Nicole</t>
        </is>
      </c>
      <c r="E14" s="12" t="inlineStr">
        <is>
          <t>Franco</t>
        </is>
      </c>
      <c r="F14" s="12" t="inlineStr">
        <is>
          <t>Identidad y contraseñas</t>
        </is>
      </c>
      <c r="G14" s="12" t="inlineStr">
        <is>
          <t>Código</t>
        </is>
      </c>
      <c r="H14" s="12" t="inlineStr">
        <is>
          <t>9.1</t>
        </is>
      </c>
      <c r="I14" s="13" t="inlineStr">
        <is>
          <t>Lun 12</t>
        </is>
      </c>
      <c r="J14" s="28" t="n">
        <v>46307</v>
      </c>
      <c r="K14" s="13" t="inlineStr">
        <is>
          <t>14:00</t>
        </is>
      </c>
      <c r="L14" s="13" t="inlineStr">
        <is>
          <t>Alta</t>
        </is>
      </c>
      <c r="M14" s="48" t="n">
        <v>4</v>
      </c>
      <c r="N14" s="12" t="inlineStr">
        <is>
          <t>IAM-04, IAM-05</t>
        </is>
      </c>
      <c r="O14" s="12" t="inlineStr">
        <is>
          <t>C-03, INF-03</t>
        </is>
      </c>
      <c r="P14" s="12" t="inlineStr">
        <is>
          <t>Lista y búsqueda, alta, edición, baja, botones Desbloquear y Reiniciar contraseña, columnas User ID y estado. Mensajes claros cuando una contraseña no cumple la política (principio de menos asombro).</t>
        </is>
      </c>
      <c r="Q14" s="12" t="inlineStr">
        <is>
          <t>La demo funciona de punta a punta desde el navegador, sin tocar la base de datos ni la consola de Keycloak.</t>
        </is>
      </c>
      <c r="R14" s="12" t="inlineStr">
        <is>
          <t>Capturas de cada pantalla</t>
        </is>
      </c>
      <c r="S14" s="29" t="inlineStr">
        <is>
          <t>En revisión</t>
        </is>
      </c>
      <c r="T14" s="30" t="inlineStr">
        <is>
          <t>[Frontend 24/10] Integrada en main/develop del frontend (sins-59). Verificado en el navegador contra el backend: lista con User ID y estado de las 28 cuentas; los botones de alta, edición, baja, desbloqueo y reinicio llaman a los endpoints correctos; 103 tests del frontend en verde. Falta recorrer la demo completa en vivo (alta → temporal → desbloqueo → reinicio).</t>
        </is>
      </c>
    </row>
    <row r="15">
      <c r="A15" s="25" t="inlineStr">
        <is>
          <t>IAM-07</t>
        </is>
      </c>
      <c r="B15" s="26" t="inlineStr">
        <is>
          <t>SINS-23</t>
        </is>
      </c>
      <c r="C15" s="21" t="inlineStr">
        <is>
          <t>[Plan B] Políticas de contraseña nativas en ms-identidad</t>
        </is>
      </c>
      <c r="D15" s="27" t="inlineStr">
        <is>
          <t>Nicole</t>
        </is>
      </c>
      <c r="E15" s="12" t="inlineStr">
        <is>
          <t>—</t>
        </is>
      </c>
      <c r="F15" s="12" t="inlineStr">
        <is>
          <t>Identidad y contraseñas</t>
        </is>
      </c>
      <c r="G15" s="12" t="inlineStr">
        <is>
          <t>Código</t>
        </is>
      </c>
      <c r="H15" s="12" t="inlineStr">
        <is>
          <t>9.3</t>
        </is>
      </c>
      <c r="I15" s="13" t="inlineStr">
        <is>
          <t>Dom 11</t>
        </is>
      </c>
      <c r="J15" s="28" t="n">
        <v>46306</v>
      </c>
      <c r="K15" s="13" t="inlineStr">
        <is>
          <t>18:00</t>
        </is>
      </c>
      <c r="L15" s="13" t="inlineStr">
        <is>
          <t>Baja</t>
        </is>
      </c>
      <c r="M15" s="48" t="n">
        <v>6</v>
      </c>
      <c r="N15" s="12" t="inlineStr">
        <is>
          <t>IAM-01</t>
        </is>
      </c>
      <c r="O15" s="12" t="inlineStr">
        <is>
          <t>—</t>
        </is>
      </c>
      <c r="P15" s="12" t="inlineStr">
        <is>
          <t>SOLO si IAM-01 da no-go. Tabla password_history con las últimas 5 contraseñas en Argon2id, password_changed_at con expiración a 90 días, max-failed-attempts=3 sin desbloqueo automático, endpoints de desbloqueo y reinicio y validador de complejidad. Si IAM-01 da go, cancelar esta tarea.</t>
        </is>
      </c>
      <c r="Q15" s="12" t="inlineStr">
        <is>
          <t>Cumple los mismos criterios que IAM-02 e IAM-05.</t>
        </is>
      </c>
      <c r="R15" s="12" t="inlineStr">
        <is>
          <t>Igual que IAM-02/IAM-05</t>
        </is>
      </c>
      <c r="S15" s="29" t="inlineStr">
        <is>
          <t>Cancelada</t>
        </is>
      </c>
      <c r="T15" s="30" t="inlineStr">
        <is>
          <t>[Revisión de código 23/10] IAM-01 dio GO: el plan B no se activa.</t>
        </is>
      </c>
    </row>
    <row r="16">
      <c r="A16" s="25" t="inlineStr">
        <is>
          <t>IAM-08</t>
        </is>
      </c>
      <c r="B16" s="26" t="inlineStr">
        <is>
          <t>SINS-56</t>
        </is>
      </c>
      <c r="C16" s="21" t="inlineStr">
        <is>
          <t>[Opcional jueves] Passkeys / WebAuthn para administradores</t>
        </is>
      </c>
      <c r="D16" s="27" t="inlineStr">
        <is>
          <t>Nicole</t>
        </is>
      </c>
      <c r="E16" s="12" t="inlineStr">
        <is>
          <t>—</t>
        </is>
      </c>
      <c r="F16" s="12" t="inlineStr">
        <is>
          <t>Identidad y contraseñas</t>
        </is>
      </c>
      <c r="G16" s="12" t="inlineStr">
        <is>
          <t>Código</t>
        </is>
      </c>
      <c r="H16" s="12" t="inlineStr">
        <is>
          <t>9.3</t>
        </is>
      </c>
      <c r="I16" s="13" t="inlineStr">
        <is>
          <t>Jue 15</t>
        </is>
      </c>
      <c r="J16" s="28" t="n">
        <v>46310</v>
      </c>
      <c r="K16" s="13" t="inlineStr">
        <is>
          <t>18:00</t>
        </is>
      </c>
      <c r="L16" s="13" t="inlineStr">
        <is>
          <t>Baja</t>
        </is>
      </c>
      <c r="M16" s="48" t="n">
        <v>3</v>
      </c>
      <c r="N16" s="12" t="inlineStr">
        <is>
          <t>IAM-03</t>
        </is>
      </c>
      <c r="O16" s="12" t="inlineStr">
        <is>
          <t>—</t>
        </is>
      </c>
      <c r="P16" s="12" t="inlineStr">
        <is>
          <t>Habilitar WebAuthn (passkeys) como inicio sin contraseña o segundo factor en Keycloak para PLATFORM_ADMIN y ADMINISTRATOR. Demostrar el registro y el inicio de sesión con passkey.</t>
        </is>
      </c>
      <c r="Q16" s="12" t="inlineStr">
        <is>
          <t>Un administrador inicia sesión con passkey y hay capturas del flujo.</t>
        </is>
      </c>
      <c r="R16" s="12" t="inlineStr">
        <is>
          <t>Capturas</t>
        </is>
      </c>
      <c r="S16" s="29" t="inlineStr">
        <is>
          <t>Pendiente</t>
        </is>
      </c>
      <c r="T16" s="30" t="inlineStr">
        <is>
          <t>[Revisión de código 23/10] Opcional. El realm no tiene WebAuthn/passkeys configurado.</t>
        </is>
      </c>
    </row>
    <row r="17">
      <c r="A17" s="25" t="inlineStr">
        <is>
          <t>PWM-01</t>
        </is>
      </c>
      <c r="B17" s="26" t="inlineStr">
        <is>
          <t>SINS-24</t>
        </is>
      </c>
      <c r="C17" s="21" t="inlineStr">
        <is>
          <t>Gestor de contraseñas para resguardo (KeePassXC) y rotación de secretos</t>
        </is>
      </c>
      <c r="D17" s="32" t="inlineStr">
        <is>
          <t>Favian</t>
        </is>
      </c>
      <c r="E17" s="12" t="inlineStr">
        <is>
          <t>Nicole</t>
        </is>
      </c>
      <c r="F17" s="12" t="inlineStr">
        <is>
          <t>Identidad y contraseñas</t>
        </is>
      </c>
      <c r="G17" s="12" t="inlineStr">
        <is>
          <t>Documento GRC</t>
        </is>
      </c>
      <c r="H17" s="12" t="inlineStr">
        <is>
          <t>9.3</t>
        </is>
      </c>
      <c r="I17" s="13" t="inlineStr">
        <is>
          <t>Dom 11</t>
        </is>
      </c>
      <c r="J17" s="28" t="n">
        <v>46306</v>
      </c>
      <c r="K17" s="13" t="inlineStr">
        <is>
          <t>17:00</t>
        </is>
      </c>
      <c r="L17" s="13" t="inlineStr">
        <is>
          <t>Alta</t>
        </is>
      </c>
      <c r="M17" s="48" t="n">
        <v>3</v>
      </c>
      <c r="N17" s="12" t="inlineStr">
        <is>
          <t>C-01, IAM-01</t>
        </is>
      </c>
      <c r="O17" s="12" t="inlineStr">
        <is>
          <t>PR-08</t>
        </is>
      </c>
      <c r="P17" s="12" t="inlineStr">
        <is>
          <t>Crear la base KeePassXC del equipo: cifrado AES-256 o ChaCha20, KDF Argon2id, contraseña maestra fuerte y archivo llave. Guardar ahí el admin de Keycloak, el platform admin, Aiven, MinIO, JWT_SECRET, CRYPTO_SERVICE_SHARED_SECRET, DEMO_MASTER_KEY, los tokens de Meta y los usuarios de prueba por rol. Generar secretos nuevos con el generador del gestor para reemplazar los valores de ejemplo del .env.</t>
        </is>
      </c>
      <c r="Q17" s="12" t="inlineStr">
        <is>
          <t>La bóveda se compartió por un canal seguro, hay capturas de su configuración (cifrado, KDF, generador) y no hay secretos en el chat ni en el repo.</t>
        </is>
      </c>
      <c r="R17" s="12" t="inlineStr">
        <is>
          <t>Capturas de la configuración de KeePassXC (sin valores)</t>
        </is>
      </c>
      <c r="S17" s="29" t="inlineStr">
        <is>
          <t>Pendiente</t>
        </is>
      </c>
      <c r="T17" s="30" t="inlineStr"/>
    </row>
    <row r="18">
      <c r="A18" s="25" t="inlineStr">
        <is>
          <t>RBAC-01</t>
        </is>
      </c>
      <c r="B18" s="26" t="inlineStr">
        <is>
          <t>SINS-11</t>
        </is>
      </c>
      <c r="C18" s="21" t="inlineStr">
        <is>
          <t>Catálogo granular de permisos por funcionalidad</t>
        </is>
      </c>
      <c r="D18" s="33" t="inlineStr">
        <is>
          <t>Franco</t>
        </is>
      </c>
      <c r="E18" s="12" t="inlineStr">
        <is>
          <t>—</t>
        </is>
      </c>
      <c r="F18" s="12" t="inlineStr">
        <is>
          <t>Roles y autorización</t>
        </is>
      </c>
      <c r="G18" s="12" t="inlineStr">
        <is>
          <t>Código</t>
        </is>
      </c>
      <c r="H18" s="12" t="inlineStr">
        <is>
          <t>9.2</t>
        </is>
      </c>
      <c r="I18" s="13" t="inlineStr">
        <is>
          <t>Sáb 10</t>
        </is>
      </c>
      <c r="J18" s="28" t="n">
        <v>46305</v>
      </c>
      <c r="K18" s="13" t="inlineStr">
        <is>
          <t>13:00</t>
        </is>
      </c>
      <c r="L18" s="13" t="inlineStr">
        <is>
          <t>Urgente</t>
        </is>
      </c>
      <c r="M18" s="48" t="n">
        <v>3</v>
      </c>
      <c r="N18" s="12" t="inlineStr">
        <is>
          <t>C-01</t>
        </is>
      </c>
      <c r="O18" s="12" t="inlineStr">
        <is>
          <t>RBAC-02, RBAC-03, RBAC-06, PO-02</t>
        </is>
      </c>
      <c r="P18" s="12" t="inlineStr">
        <is>
          <t>Inventariar todas las funcionalidades (endpoints) de cada microservicio y definir permisos con el formato módulo.recurso.acción (clinical.encounter.sign, scheduling.appointment.cancel, notifications.whatsapp.send, audit.log.read, identity.user.unlock, identity.role.manage…). Crear una migración nueva en ms-identidad con los permisos y su asignación inicial a roles. Este catálogo es la fuente de la matriz de accesos (RBAC-06).</t>
        </is>
      </c>
      <c r="Q18" s="12" t="inlineStr">
        <is>
          <t>La migración está aplicada, GET /permissions devuelve el catálogo completo y cada endpoint del sistema tiene un permiso.</t>
        </is>
      </c>
      <c r="R18" s="12" t="inlineStr">
        <is>
          <t>Hoja de endpoints→permiso (borrador de la matriz)</t>
        </is>
      </c>
      <c r="S18" s="29" t="inlineStr">
        <is>
          <t>Hecha</t>
        </is>
      </c>
      <c r="T18" s="30" t="inlineStr">
        <is>
          <t>[Revisión de código 23/10] GET /api/v1/identity/permissions devuelve 169 permisos; los 252 endpoints coinciden con la matriz (scripts/ci/check_permissions.py).</t>
        </is>
      </c>
    </row>
    <row r="19">
      <c r="A19" s="25" t="inlineStr">
        <is>
          <t>RBAC-02</t>
        </is>
      </c>
      <c r="B19" s="26" t="inlineStr">
        <is>
          <t>SINS-25</t>
        </is>
      </c>
      <c r="C19" s="21" t="inlineStr">
        <is>
          <t>API de gestión de roles (alta, baja y edición de permisos)</t>
        </is>
      </c>
      <c r="D19" s="33" t="inlineStr">
        <is>
          <t>Franco</t>
        </is>
      </c>
      <c r="E19" s="12" t="inlineStr">
        <is>
          <t>—</t>
        </is>
      </c>
      <c r="F19" s="12" t="inlineStr">
        <is>
          <t>Roles y autorización</t>
        </is>
      </c>
      <c r="G19" s="12" t="inlineStr">
        <is>
          <t>Código</t>
        </is>
      </c>
      <c r="H19" s="12" t="inlineStr">
        <is>
          <t>9.2</t>
        </is>
      </c>
      <c r="I19" s="13" t="inlineStr">
        <is>
          <t>Sáb 10</t>
        </is>
      </c>
      <c r="J19" s="28" t="n">
        <v>46305</v>
      </c>
      <c r="K19" s="13" t="inlineStr">
        <is>
          <t>20:00</t>
        </is>
      </c>
      <c r="L19" s="13" t="inlineStr">
        <is>
          <t>Urgente</t>
        </is>
      </c>
      <c r="M19" s="48" t="n">
        <v>5</v>
      </c>
      <c r="N19" s="12" t="inlineStr">
        <is>
          <t>RBAC-01</t>
        </is>
      </c>
      <c r="O19" s="12" t="inlineStr">
        <is>
          <t>RBAC-05, LOG-02, PR-03</t>
        </is>
      </c>
      <c r="P19" s="12" t="inlineStr">
        <is>
          <t>Endpoints POST /roles, PATCH /roles/{code}, DELETE /roles/{code} (desactiva) y PUT /roles/{code}/permissions, protegidos con identity.role.manage. Segregación de funciones: nadie modifica sus propios roles ni permisos, y se pueden configurar pares de roles incompatibles.</t>
        </is>
      </c>
      <c r="Q19" s="12" t="inlineStr">
        <is>
          <t>Se crea un rol nuevo, se le asignan permisos y se le asigna a un usuario desde la API; tras volver a iniciar sesión, el usuario tiene acceso sin tocar código ni la BD.</t>
        </is>
      </c>
      <c r="R19" s="12" t="inlineStr">
        <is>
          <t>Colección Postman y PR</t>
        </is>
      </c>
      <c r="S19" s="29" t="inlineStr">
        <is>
          <t>Hecha</t>
        </is>
      </c>
      <c r="T19" s="30" t="inlineStr">
        <is>
          <t>[Actualizado 24/10, ISO-01] Desde la migración V9 de Alvaro, la gestión de roles y permisos es del OSI (ya no de PLATFORM_ADMIN). e2e.sh recorre el criterio con la cuenta OSI: rol nuevo → permiso → cuenta → nivel MAC → acceso, y el 403 donde corresponde.
[Corregido 24/10] RoleManagementServiceTest (7 tests). La cuenta PLATFORM_ADMIN se activa por ENV_FILE (plantilla en docs/despliegue-vps.md). e2e.sh recorre el criterio completo: rol nuevo → permisos → usuario → acceso permitido y 403 donde corresponde.
[Revisión de código 23/10] API de roles implementada (crear, editar, desactivar, permisos, roles asignables, incompatibilidades). Falta: tests automatizados (solo hay colección Postman) y una cuenta PLATFORM_ADMIN para la demo: solo ese rol tiene identity.role.manage y no existe por defecto (PLATFORM_ADMIN_SEED_ENABLED=false).</t>
        </is>
      </c>
    </row>
    <row r="20">
      <c r="A20" s="25" t="inlineStr">
        <is>
          <t>RBAC-03</t>
        </is>
      </c>
      <c r="B20" s="26" t="inlineStr">
        <is>
          <t>SINS-26</t>
        </is>
      </c>
      <c r="C20" s="21" t="inlineStr">
        <is>
          <t>Autorización por permisos en todos los servicios</t>
        </is>
      </c>
      <c r="D20" s="33" t="inlineStr">
        <is>
          <t>Franco</t>
        </is>
      </c>
      <c r="E20" s="12" t="inlineStr">
        <is>
          <t>Juanjo</t>
        </is>
      </c>
      <c r="F20" s="12" t="inlineStr">
        <is>
          <t>Roles y autorización</t>
        </is>
      </c>
      <c r="G20" s="12" t="inlineStr">
        <is>
          <t>Código</t>
        </is>
      </c>
      <c r="H20" s="12" t="inlineStr">
        <is>
          <t>9.2, 10</t>
        </is>
      </c>
      <c r="I20" s="13" t="inlineStr">
        <is>
          <t>Dom 11</t>
        </is>
      </c>
      <c r="J20" s="28" t="n">
        <v>46306</v>
      </c>
      <c r="K20" s="13" t="inlineStr">
        <is>
          <t>16:00</t>
        </is>
      </c>
      <c r="L20" s="13" t="inlineStr">
        <is>
          <t>Urgente</t>
        </is>
      </c>
      <c r="M20" s="48" t="n">
        <v>6</v>
      </c>
      <c r="N20" s="12" t="inlineStr">
        <is>
          <t>RBAC-01</t>
        </is>
      </c>
      <c r="O20" s="12" t="inlineStr">
        <is>
          <t>RBAC-04, LOG-04</t>
        </is>
      </c>
      <c r="P20" s="12" t="inlineStr">
        <is>
          <t>El gateway propaga X-Permissions desde el claim permissions; agregarlo a TRUSTED_HEADERS para que el cliente no pueda inyectarlo. Crear la anotación @RequiresPermission con su interceptor en cada servicio (mismo patrón que RoleAuthorizationInterceptor) y reemplazar los @RequiresRole con roles fijos en el código.</t>
        </is>
      </c>
      <c r="Q20" s="12" t="inlineStr">
        <is>
          <t>Cambiar los permisos de un rol desde la API cambia el acceso real en historial, pacientes y facturación sin redesplegar, y hay tests del interceptor.</t>
        </is>
      </c>
      <c r="R20" s="12" t="inlineStr">
        <is>
          <t>Antes/después: rol sin permiso → 403</t>
        </is>
      </c>
      <c r="S20" s="29" t="inlineStr">
        <is>
          <t>Hecha</t>
        </is>
      </c>
      <c r="T20" s="30" t="inlineStr">
        <is>
          <t>[Revisión de código 23/10] No queda ningún @RequiresRole; el gateway propaga X-Permissions desde el JWT y descarta los que envía el cliente. Tests del interceptor.</t>
        </is>
      </c>
    </row>
    <row r="21">
      <c r="A21" s="25" t="inlineStr">
        <is>
          <t>RBAC-04</t>
        </is>
      </c>
      <c r="B21" s="26" t="inlineStr">
        <is>
          <t>SINS-42</t>
        </is>
      </c>
      <c r="C21" s="21" t="inlineStr">
        <is>
          <t>Denegar por defecto y cubrir los servicios sin control</t>
        </is>
      </c>
      <c r="D21" s="33" t="inlineStr">
        <is>
          <t>Franco</t>
        </is>
      </c>
      <c r="E21" s="12" t="inlineStr">
        <is>
          <t>—</t>
        </is>
      </c>
      <c r="F21" s="12" t="inlineStr">
        <is>
          <t>Roles y autorización</t>
        </is>
      </c>
      <c r="G21" s="12" t="inlineStr">
        <is>
          <t>Código</t>
        </is>
      </c>
      <c r="H21" s="12" t="inlineStr">
        <is>
          <t>10, 11</t>
        </is>
      </c>
      <c r="I21" s="13" t="inlineStr">
        <is>
          <t>Lun 12</t>
        </is>
      </c>
      <c r="J21" s="28" t="n">
        <v>46307</v>
      </c>
      <c r="K21" s="13" t="inlineStr">
        <is>
          <t>11:00</t>
        </is>
      </c>
      <c r="L21" s="13" t="inlineStr">
        <is>
          <t>Alta</t>
        </is>
      </c>
      <c r="M21" s="48" t="n">
        <v>5</v>
      </c>
      <c r="N21" s="12" t="inlineStr">
        <is>
          <t>RBAC-03</t>
        </is>
      </c>
      <c r="O21" s="12" t="inlineStr">
        <is>
          <t>VULN-02, INF-02, INF-05</t>
        </is>
      </c>
      <c r="P21" s="12" t="inlineStr">
        <is>
          <t>El interceptor rechaza con 403 todo endpoint sin @RequiresPermission, salvo los marcados explícitamente con @PublicEndpoint. Proteger ms-agenda (30 endpoints), ms-profesionales, ms-notificaciones (incluida la consola manual de WhatsApp) y ms-catalogos. Script o colección de pruebas: 401 sin token, 403 con un rol sin permiso, 200 con el permiso.</t>
        </is>
      </c>
      <c r="Q21" s="12" t="inlineStr">
        <is>
          <t>El script pasa y ningún endpoint de negocio queda sin anotación (comprobado con grep).</t>
        </is>
      </c>
      <c r="R21" s="12" t="inlineStr">
        <is>
          <t>Salida del script de pruebas de autorización</t>
        </is>
      </c>
      <c r="S21" s="29" t="inlineStr">
        <is>
          <t>Hecha</t>
        </is>
      </c>
      <c r="T21" s="30" t="inlineStr">
        <is>
          <t>[Revisión de código 23/10] Denegar por defecto: todos los endpoints declaran su control (check_permissions.py); sin token responde 401.</t>
        </is>
      </c>
    </row>
    <row r="22">
      <c r="A22" s="25" t="inlineStr">
        <is>
          <t>RBAC-05</t>
        </is>
      </c>
      <c r="B22" s="26" t="inlineStr">
        <is>
          <t>SINS-43</t>
        </is>
      </c>
      <c r="C22" s="21" t="inlineStr">
        <is>
          <t>Pantallas de roles y matriz de accesos editable (frontend)</t>
        </is>
      </c>
      <c r="D22" s="33" t="inlineStr">
        <is>
          <t>Franco</t>
        </is>
      </c>
      <c r="E22" s="12" t="inlineStr">
        <is>
          <t>Nicole</t>
        </is>
      </c>
      <c r="F22" s="12" t="inlineStr">
        <is>
          <t>Roles y autorización</t>
        </is>
      </c>
      <c r="G22" s="12" t="inlineStr">
        <is>
          <t>Código</t>
        </is>
      </c>
      <c r="H22" s="12" t="inlineStr">
        <is>
          <t>9.2</t>
        </is>
      </c>
      <c r="I22" s="13" t="inlineStr">
        <is>
          <t>Lun 12</t>
        </is>
      </c>
      <c r="J22" s="28" t="n">
        <v>46307</v>
      </c>
      <c r="K22" s="13" t="inlineStr">
        <is>
          <t>16:00</t>
        </is>
      </c>
      <c r="L22" s="13" t="inlineStr">
        <is>
          <t>Alta</t>
        </is>
      </c>
      <c r="M22" s="48" t="n">
        <v>5</v>
      </c>
      <c r="N22" s="12" t="inlineStr">
        <is>
          <t>RBAC-02</t>
        </is>
      </c>
      <c r="O22" s="12" t="inlineStr">
        <is>
          <t>C-03, INF-04</t>
        </is>
      </c>
      <c r="P22" s="12" t="inlineStr">
        <is>
          <t>CRUD de roles, matriz rol × permiso con checkboxes agrupada por módulo y asignación de roles a usuarios. La matriz se puede exportar a CSV/Excel desde la app.</t>
        </is>
      </c>
      <c r="Q22" s="12" t="inlineStr">
        <is>
          <t>Demo: quitar un permiso en la matriz hace que el usuario reciba 403 en esa funcionalidad tras volver a iniciar sesión.</t>
        </is>
      </c>
      <c r="R22" s="12" t="inlineStr">
        <is>
          <t>Capturas y matriz exportada</t>
        </is>
      </c>
      <c r="S22" s="29" t="inlineStr">
        <is>
          <t>En revisión</t>
        </is>
      </c>
      <c r="T22" s="30" t="inlineStr">
        <is>
          <t>[Actualizado 24/10, ISO-01] La matriz se edita con la cuenta OSI (OSI_SEED_ENABLED en ENV_FILE). Falta en el frontend una pantalla para fijar el nivel MAC de una cuenta: hoy solo por API (PUT /users/{id}/clearance).
[Corregido 24/10] Desbloqueada: con la cuenta PLATFORM_ADMIN la matriz se puede editar. Falta solo recorrer la demo en vivo desde la pantalla.
[Frontend 24/10] Pantallas de roles y matriz (169 permisos × 6 roles) con exportación CSV/Excel, verificadas en el navegador. Para la demo de editar la matriz hace falta una cuenta PLATFORM_ADMIN (mismo bloqueo que RBAC-02): ADMINISTRATOR no tiene identity.role.manage.</t>
        </is>
      </c>
    </row>
    <row r="23">
      <c r="A23" s="25" t="inlineStr">
        <is>
          <t>RBAC-06</t>
        </is>
      </c>
      <c r="B23" s="26" t="inlineStr">
        <is>
          <t>SINS-27</t>
        </is>
      </c>
      <c r="C23" s="21" t="inlineStr">
        <is>
          <t>Matriz de roles y accesos (plantilla Excel)</t>
        </is>
      </c>
      <c r="D23" s="33" t="inlineStr">
        <is>
          <t>Franco</t>
        </is>
      </c>
      <c r="E23" s="12" t="inlineStr">
        <is>
          <t>Alan</t>
        </is>
      </c>
      <c r="F23" s="12" t="inlineStr">
        <is>
          <t>Roles y autorización</t>
        </is>
      </c>
      <c r="G23" s="12" t="inlineStr">
        <is>
          <t>Documento GRC</t>
        </is>
      </c>
      <c r="H23" s="12" t="inlineStr">
        <is>
          <t>9.2</t>
        </is>
      </c>
      <c r="I23" s="13" t="inlineStr">
        <is>
          <t>Lun 12</t>
        </is>
      </c>
      <c r="J23" s="28" t="n">
        <v>46307</v>
      </c>
      <c r="K23" s="13" t="inlineStr">
        <is>
          <t>14:00</t>
        </is>
      </c>
      <c r="L23" s="13" t="inlineStr">
        <is>
          <t>Alta</t>
        </is>
      </c>
      <c r="M23" s="48" t="n">
        <v>3</v>
      </c>
      <c r="N23" s="12" t="inlineStr">
        <is>
          <t>RBAC-01</t>
        </is>
      </c>
      <c r="O23" s="12" t="inlineStr">
        <is>
          <t>INF-04, INF-09</t>
        </is>
      </c>
      <c r="P23" s="12" t="inlineStr">
        <is>
          <t>Excel de roles × funcionalidades por módulo, con permisos C/R/U/D/Aprobar/Ejecutar, columnas de justificación (mínimo privilegio, segregación) y firma del responsable. Borrador el sábado a partir del seed actual; versión final el lunes, alineada con lo implementado.</t>
        </is>
      </c>
      <c r="Q23" s="12" t="inlineStr">
        <is>
          <t>Coincide 1:1 con la matriz exportada desde la app (RBAC-05) y va como anexo del informe.</t>
        </is>
      </c>
      <c r="R23" s="12" t="inlineStr">
        <is>
          <t>Matriz_Roles_Accesos.xlsx</t>
        </is>
      </c>
      <c r="S23" s="29" t="inlineStr">
        <is>
          <t>Pendiente</t>
        </is>
      </c>
      <c r="T23" s="30" t="inlineStr"/>
    </row>
    <row r="24">
      <c r="A24" s="25" t="inlineStr">
        <is>
          <t>VULN-01</t>
        </is>
      </c>
      <c r="B24" s="26" t="inlineStr">
        <is>
          <t>SINS-3</t>
        </is>
      </c>
      <c r="C24" s="21" t="inlineStr">
        <is>
          <t>Escaneo de vulnerabilidades de línea base (ANTES)</t>
        </is>
      </c>
      <c r="D24" s="34" t="inlineStr">
        <is>
          <t>Juanjo</t>
        </is>
      </c>
      <c r="E24" s="12" t="inlineStr">
        <is>
          <t>—</t>
        </is>
      </c>
      <c r="F24" s="12" t="inlineStr">
        <is>
          <t>Hardening y escaneo</t>
        </is>
      </c>
      <c r="G24" s="12" t="inlineStr">
        <is>
          <t>Código</t>
        </is>
      </c>
      <c r="H24" s="12" t="inlineStr">
        <is>
          <t>13</t>
        </is>
      </c>
      <c r="I24" s="13" t="inlineStr">
        <is>
          <t>Sáb 10</t>
        </is>
      </c>
      <c r="J24" s="28" t="n">
        <v>46305</v>
      </c>
      <c r="K24" s="13" t="inlineStr">
        <is>
          <t>14:00</t>
        </is>
      </c>
      <c r="L24" s="13" t="inlineStr">
        <is>
          <t>Urgente</t>
        </is>
      </c>
      <c r="M24" s="48" t="n">
        <v>4</v>
      </c>
      <c r="N24" s="12" t="inlineStr">
        <is>
          <t>—</t>
        </is>
      </c>
      <c r="O24" s="12" t="inlineStr">
        <is>
          <t>HARD-01, HARD-02, HARD-03, HARD-04, PO-07, PR-04</t>
        </is>
      </c>
      <c r="P24" s="12" t="inlineStr">
        <is>
          <t>Sobre el develop actual levantado en Docker: OWASP ZAP (baseline y, si hay OpenAPI, API scan) contra el gateway; Trivy sobre las imágenes medicalsys/*:local; Trivy fs u OWASP Dependency-Check sobre los pom.xml. Guardar los reportes en docs/seguridad/escaneos/antes/. NINGUNA corrección de seguridad se mergea antes de terminar este escaneo.</t>
        </is>
      </c>
      <c r="Q24" s="12" t="inlineStr">
        <is>
          <t>Los 3 reportes están guardados con fecha y hay un resumen de hallazgos por severidad en el comentario del issue.</t>
        </is>
      </c>
      <c r="R24" s="12" t="inlineStr">
        <is>
          <t>Reportes HTML/JSON de ZAP, Trivy y Dependency-Check</t>
        </is>
      </c>
      <c r="S24" s="29" t="inlineStr">
        <is>
          <t>Hecha</t>
        </is>
      </c>
      <c r="T24" s="30" t="inlineStr">
        <is>
          <t>[Revisión de código 23/10] Reportes Trivy (fs e imágenes) y ZAP del 12/10 en docs/seguridad/escaneos/antes/.</t>
        </is>
      </c>
    </row>
    <row r="25">
      <c r="A25" s="25" t="inlineStr">
        <is>
          <t>HARD-01</t>
        </is>
      </c>
      <c r="B25" s="26" t="inlineStr">
        <is>
          <t>SINS-12</t>
        </is>
      </c>
      <c r="C25" s="21" t="inlineStr">
        <is>
          <t>Red interna y cierre de puertos (mediación completa, OWASP A01)</t>
        </is>
      </c>
      <c r="D25" s="34" t="inlineStr">
        <is>
          <t>Juanjo</t>
        </is>
      </c>
      <c r="E25" s="12" t="inlineStr">
        <is>
          <t>—</t>
        </is>
      </c>
      <c r="F25" s="12" t="inlineStr">
        <is>
          <t>Hardening y escaneo</t>
        </is>
      </c>
      <c r="G25" s="12" t="inlineStr">
        <is>
          <t>Código</t>
        </is>
      </c>
      <c r="H25" s="12" t="inlineStr">
        <is>
          <t>10, 11</t>
        </is>
      </c>
      <c r="I25" s="13" t="inlineStr">
        <is>
          <t>Sáb 10</t>
        </is>
      </c>
      <c r="J25" s="28" t="n">
        <v>46305</v>
      </c>
      <c r="K25" s="13" t="inlineStr">
        <is>
          <t>20:00</t>
        </is>
      </c>
      <c r="L25" s="13" t="inlineStr">
        <is>
          <t>Urgente</t>
        </is>
      </c>
      <c r="M25" s="48" t="n">
        <v>3</v>
      </c>
      <c r="N25" s="12" t="inlineStr">
        <is>
          <t>VULN-01</t>
        </is>
      </c>
      <c r="O25" s="12" t="inlineStr">
        <is>
          <t>HARD-05, VULN-02, DEP-01, INF-02, INF-05, INF-06</t>
        </is>
      </c>
      <c r="P25" s="12" t="inlineStr">
        <is>
          <t>Crear la red medicalsys-interna en compose.yaml y quitar «ports:» de los 13 microservicios y de Postgres, Redis, Kafka y MinIO. Solo quedan expuestos el gateway y Keycloak (si hace falta). Hoy cualquiera puede hacer curl a :8088 con cabeceras X-Roles falsas y saltarse el gateway. Actualizar el README.</t>
        </is>
      </c>
      <c r="Q25" s="12" t="inlineStr">
        <is>
          <t>curl a localhost:8088 con X-Roles falso ya no responde y todo sigue funcionando a través del gateway (smoke test).</t>
        </is>
      </c>
      <c r="R25" s="12" t="inlineStr">
        <is>
          <t>Antes/después del curl directo</t>
        </is>
      </c>
      <c r="S25" s="29" t="inlineStr">
        <is>
          <t>Hecha</t>
        </is>
      </c>
      <c r="T25" s="30" t="inlineStr">
        <is>
          <t>[Revisión de código 23/10] Solo el gateway (8080) y Keycloak (18080) publican puerto; X-User-Id/X-Roles falsos sin token → 401 (e2e.sh).</t>
        </is>
      </c>
    </row>
    <row r="26">
      <c r="A26" s="25" t="inlineStr">
        <is>
          <t>HARD-02</t>
        </is>
      </c>
      <c r="B26" s="26" t="inlineStr">
        <is>
          <t>SINS-13</t>
        </is>
      </c>
      <c r="C26" s="21" t="inlineStr">
        <is>
          <t>Revocación de sesión en el gateway (OWASP A07)</t>
        </is>
      </c>
      <c r="D26" s="34" t="inlineStr">
        <is>
          <t>Juanjo</t>
        </is>
      </c>
      <c r="E26" s="12" t="inlineStr">
        <is>
          <t>Nicole</t>
        </is>
      </c>
      <c r="F26" s="12" t="inlineStr">
        <is>
          <t>Hardening y escaneo</t>
        </is>
      </c>
      <c r="G26" s="12" t="inlineStr">
        <is>
          <t>Código</t>
        </is>
      </c>
      <c r="H26" s="12" t="inlineStr">
        <is>
          <t>10, 11</t>
        </is>
      </c>
      <c r="I26" s="13" t="inlineStr">
        <is>
          <t>Dom 11</t>
        </is>
      </c>
      <c r="J26" s="28" t="n">
        <v>46306</v>
      </c>
      <c r="K26" s="13" t="inlineStr">
        <is>
          <t>14:00</t>
        </is>
      </c>
      <c r="L26" s="13" t="inlineStr">
        <is>
          <t>Alta</t>
        </is>
      </c>
      <c r="M26" s="48" t="n">
        <v>4</v>
      </c>
      <c r="N26" s="12" t="inlineStr">
        <is>
          <t>VULN-01</t>
        </is>
      </c>
      <c r="O26" s="12" t="inlineStr">
        <is>
          <t>VULN-02, INF-06</t>
        </is>
      </c>
      <c r="P26" s="12" t="inlineStr">
        <is>
          <t>El gateway comprueba que el jti del JWT siga activo en Redis (mismo SessionStore de ms-identidad) o lo consulta en un endpoint interno de identidad. Así el logout invalida el token en TODA la plataforma; hoy sigue valiendo hasta 1 h en los demás servicios.</t>
        </is>
      </c>
      <c r="Q26" s="12" t="inlineStr">
        <is>
          <t>Tras el logout, el mismo token recibe 401 en historial y pacientes.</t>
        </is>
      </c>
      <c r="R26" s="12" t="inlineStr">
        <is>
          <t>Antes/después con el mismo token</t>
        </is>
      </c>
      <c r="S26" s="29" t="inlineStr">
        <is>
          <t>Hecha</t>
        </is>
      </c>
      <c r="T26" s="30" t="inlineStr">
        <is>
          <t>[Revisión de código 23/10] Probado: tras el logout, el mismo token recibe 401 en pacientes, historial y facturación.</t>
        </is>
      </c>
    </row>
    <row r="27">
      <c r="A27" s="25" t="inlineStr">
        <is>
          <t>HARD-03</t>
        </is>
      </c>
      <c r="B27" s="26" t="inlineStr">
        <is>
          <t>SINS-14</t>
        </is>
      </c>
      <c r="C27" s="21" t="inlineStr">
        <is>
          <t>Seguridad por defecto: webhook, CORS, usuarios demo (OWASP A05/A08)</t>
        </is>
      </c>
      <c r="D27" s="34" t="inlineStr">
        <is>
          <t>Juanjo</t>
        </is>
      </c>
      <c r="E27" s="12" t="inlineStr">
        <is>
          <t>—</t>
        </is>
      </c>
      <c r="F27" s="12" t="inlineStr">
        <is>
          <t>Hardening y escaneo</t>
        </is>
      </c>
      <c r="G27" s="12" t="inlineStr">
        <is>
          <t>Código</t>
        </is>
      </c>
      <c r="H27" s="12" t="inlineStr">
        <is>
          <t>10, 11</t>
        </is>
      </c>
      <c r="I27" s="13" t="inlineStr">
        <is>
          <t>Sáb 10</t>
        </is>
      </c>
      <c r="J27" s="28" t="n">
        <v>46305</v>
      </c>
      <c r="K27" s="13" t="inlineStr">
        <is>
          <t>22:00</t>
        </is>
      </c>
      <c r="L27" s="13" t="inlineStr">
        <is>
          <t>Alta</t>
        </is>
      </c>
      <c r="M27" s="48" t="n">
        <v>2</v>
      </c>
      <c r="N27" s="12" t="inlineStr">
        <is>
          <t>VULN-01</t>
        </is>
      </c>
      <c r="O27" s="12" t="inlineStr">
        <is>
          <t>VULN-02, INF-02, INF-05, INF-06</t>
        </is>
      </c>
      <c r="P27" s="12" t="inlineStr">
        <is>
          <t>Webhook de WhatsApp: el servicio no arranca si el proveedor es meta y WHATSAPP_APP_SECRET está vacío, y rechaza las solicitudes sin firma (hoy se omite la verificación). CORS solo para los orígenes del frontend. IDENTITY_DEMO_USERS_ENABLED=false por defecto. /internal/v1/** de identidad deja de ser permitAll. Actuator con show-details: when-authorized.</t>
        </is>
      </c>
      <c r="Q27" s="12" t="inlineStr">
        <is>
          <t>Un payload de webhook sin firma recibe 401, un origen no permitido queda bloqueado y hay evidencias antes/después.</t>
        </is>
      </c>
      <c r="R27" s="12" t="inlineStr">
        <is>
          <t>Antes/después de cada punto</t>
        </is>
      </c>
      <c r="S27" s="29" t="inlineStr">
        <is>
          <t>Hecha</t>
        </is>
      </c>
      <c r="T27" s="30" t="inlineStr">
        <is>
          <t>[Corregido 24/10] La contraseña demo ya no está en el código del frontend: el botón de cuenta demo completa solo el correo.
[Revisión de código 23/10] Webhook sin firma → 401; con meta y sin WHATSAPP_APP_SECRET no arranca; CORS por lista exacta (origen ajeno → 403); cuentas demo apagadas; /internal de identidad denyAll; actuator sin detalles. Ojo: el .env local de Nicole tiene GATEWAY_ALLOWED_ORIGINS=*.
[Frontend 24/10] Observación: el frontend tiene DEMO_PASSWORD = 'Demo1234!' en login-page.ts, que viaja en el JavaScript público. Además ya no coincide con la contraseña demo por defecto del backend (SanGabriel.Demo26!).</t>
        </is>
      </c>
    </row>
    <row r="28">
      <c r="A28" s="25" t="inlineStr">
        <is>
          <t>HARD-04</t>
        </is>
      </c>
      <c r="B28" s="26" t="inlineStr">
        <is>
          <t>SINS-15</t>
        </is>
      </c>
      <c r="C28" s="21" t="inlineStr">
        <is>
          <t>Corregir los hallazgos críticos y altos del escaneo</t>
        </is>
      </c>
      <c r="D28" s="34" t="inlineStr">
        <is>
          <t>Juanjo</t>
        </is>
      </c>
      <c r="E28" s="12" t="inlineStr">
        <is>
          <t>Alvaro</t>
        </is>
      </c>
      <c r="F28" s="12" t="inlineStr">
        <is>
          <t>Hardening y escaneo</t>
        </is>
      </c>
      <c r="G28" s="12" t="inlineStr">
        <is>
          <t>Código</t>
        </is>
      </c>
      <c r="H28" s="12" t="inlineStr">
        <is>
          <t>13</t>
        </is>
      </c>
      <c r="I28" s="13" t="inlineStr">
        <is>
          <t>Dom 11</t>
        </is>
      </c>
      <c r="J28" s="28" t="n">
        <v>46306</v>
      </c>
      <c r="K28" s="13" t="inlineStr">
        <is>
          <t>20:00</t>
        </is>
      </c>
      <c r="L28" s="13" t="inlineStr">
        <is>
          <t>Alta</t>
        </is>
      </c>
      <c r="M28" s="48" t="n">
        <v>4</v>
      </c>
      <c r="N28" s="12" t="inlineStr">
        <is>
          <t>VULN-01</t>
        </is>
      </c>
      <c r="O28" s="12" t="inlineStr">
        <is>
          <t>C-03, VULN-02</t>
        </is>
      </c>
      <c r="P28" s="12" t="inlineStr">
        <is>
          <t>Actualizar las dependencias con CVE críticos o altos. Agregar cabeceras de seguridad en el gateway (HSTS, X-Content-Type-Options, CSP frame-ancestors, Referrer-Policy). Quitar banners y versiones expuestas.</t>
        </is>
      </c>
      <c r="Q28" s="12" t="inlineStr">
        <is>
          <t>Cada hallazgo crítico o alto queda corregido o tiene una justificación de riesgo aceptado.</t>
        </is>
      </c>
      <c r="R28" s="12" t="inlineStr">
        <is>
          <t>Lista hallazgo → PR</t>
        </is>
      </c>
      <c r="S28" s="29" t="inlineStr">
        <is>
          <t>Hecha</t>
        </is>
      </c>
      <c r="T28" s="30" t="inlineStr">
        <is>
          <t>[Corregido 24/10] Frontend: nginx con CSP (script-src 'self'), X-Frame-Options, nosniff, Referrer-Policy y Permissions-Policy, sin versión en Server; Caddy agrega HSTS. Verificado en el navegador: sin violaciones de CSP.
[Revisión de código 23/10] Cabeceras HSTS, nosniff, X-Frame-Options, CSP y Referrer-Policy verificadas; re-escaneo del 12/10 con 0 críticas y 0 altas.
[Frontend 24/10] Falta en el frontend: nginx sirve el HTML y el JS sin cabeceras de seguridad (CSP, X-Frame-Options, nosniff, Referrer-Policy, HSTS) y expone su versión (Server: nginx/1.27.5). Las dependencias del frontend quedaron en 0 vulnerabilidades (Angular 22.2.3).</t>
        </is>
      </c>
    </row>
    <row r="29">
      <c r="A29" s="25" t="inlineStr">
        <is>
          <t>HARD-05</t>
        </is>
      </c>
      <c r="B29" s="26" t="inlineStr">
        <is>
          <t>SINS-28</t>
        </is>
      </c>
      <c r="C29" s="21" t="inlineStr">
        <is>
          <t>[Opcional jueves] Usuario de BD por microservicio (mínimo privilegio)</t>
        </is>
      </c>
      <c r="D29" s="34" t="inlineStr">
        <is>
          <t>Juanjo</t>
        </is>
      </c>
      <c r="E29" s="12" t="inlineStr">
        <is>
          <t>—</t>
        </is>
      </c>
      <c r="F29" s="12" t="inlineStr">
        <is>
          <t>Hardening y escaneo</t>
        </is>
      </c>
      <c r="G29" s="12" t="inlineStr">
        <is>
          <t>Código</t>
        </is>
      </c>
      <c r="H29" s="12" t="inlineStr">
        <is>
          <t>10</t>
        </is>
      </c>
      <c r="I29" s="13" t="inlineStr">
        <is>
          <t>Jue 15</t>
        </is>
      </c>
      <c r="J29" s="28" t="n">
        <v>46310</v>
      </c>
      <c r="K29" s="13" t="inlineStr">
        <is>
          <t>18:00</t>
        </is>
      </c>
      <c r="L29" s="13" t="inlineStr">
        <is>
          <t>Baja</t>
        </is>
      </c>
      <c r="M29" s="48" t="n">
        <v>3</v>
      </c>
      <c r="N29" s="12" t="inlineStr">
        <is>
          <t>HARD-01</t>
        </is>
      </c>
      <c r="O29" s="12" t="inlineStr">
        <is>
          <t>—</t>
        </is>
      </c>
      <c r="P29" s="12" t="inlineStr">
        <is>
          <t>En Aiven, crear un usuario MySQL por servicio con GRANT solo sobre su base (hoy los 13 comparten el mismo usuario). Actualizar compose.yaml y .env y guardar las credenciales en la bóveda.</t>
        </is>
      </c>
      <c r="Q29" s="12" t="inlineStr">
        <is>
          <t>ms-marketing no puede leer identity_db (captura del error de permisos).</t>
        </is>
      </c>
      <c r="R29" s="12" t="inlineStr">
        <is>
          <t>Captura del error de permisos</t>
        </is>
      </c>
      <c r="S29" s="29" t="inlineStr">
        <is>
          <t>Hecha</t>
        </is>
      </c>
      <c r="T29" s="30" t="inlineStr">
        <is>
          <t>[Revisión de código 23/10] Con MySQL local cada servicio tiene su usuario: marketing_user no puede leer identity_db (probado).</t>
        </is>
      </c>
    </row>
    <row r="30">
      <c r="A30" s="25" t="inlineStr">
        <is>
          <t>VULN-02</t>
        </is>
      </c>
      <c r="B30" s="26" t="inlineStr">
        <is>
          <t>SINS-52</t>
        </is>
      </c>
      <c r="C30" s="21" t="inlineStr">
        <is>
          <t>Re-escaneo (DESPUÉS) y comparativa</t>
        </is>
      </c>
      <c r="D30" s="34" t="inlineStr">
        <is>
          <t>Juanjo</t>
        </is>
      </c>
      <c r="E30" s="12" t="inlineStr">
        <is>
          <t>—</t>
        </is>
      </c>
      <c r="F30" s="12" t="inlineStr">
        <is>
          <t>Hardening y escaneo</t>
        </is>
      </c>
      <c r="G30" s="12" t="inlineStr">
        <is>
          <t>Código</t>
        </is>
      </c>
      <c r="H30" s="12" t="inlineStr">
        <is>
          <t>13</t>
        </is>
      </c>
      <c r="I30" s="13" t="inlineStr">
        <is>
          <t>Lun 12</t>
        </is>
      </c>
      <c r="J30" s="28" t="n">
        <v>46307</v>
      </c>
      <c r="K30" s="13" t="inlineStr">
        <is>
          <t>17:00</t>
        </is>
      </c>
      <c r="L30" s="13" t="inlineStr">
        <is>
          <t>Alta</t>
        </is>
      </c>
      <c r="M30" s="48" t="n">
        <v>3</v>
      </c>
      <c r="N30" s="12" t="inlineStr">
        <is>
          <t>HARD-01, HARD-02, HARD-03, HARD-04, RBAC-04</t>
        </is>
      </c>
      <c r="O30" s="12" t="inlineStr">
        <is>
          <t>INF-08</t>
        </is>
      </c>
      <c r="P30" s="12" t="inlineStr">
        <is>
          <t>Repetir las mismas herramientas con la misma configuración de VULN-01 sobre la versión corregida. Tabla comparativa: hallazgo, severidad, antes, después y PR de la corrección. Reportes en docs/seguridad/escaneos/despues/.</t>
        </is>
      </c>
      <c r="Q30" s="12" t="inlineStr">
        <is>
          <t>La tabla está lista para la sección 13 y muestra una reducción demostrable de hallazgos.</t>
        </is>
      </c>
      <c r="R30" s="12" t="inlineStr">
        <is>
          <t>Reportes «después» y tabla comparativa</t>
        </is>
      </c>
      <c r="S30" s="29" t="inlineStr">
        <is>
          <t>Hecha</t>
        </is>
      </c>
      <c r="T30" s="30" t="inlineStr">
        <is>
          <t>[Revisión de código 23/10] Comparativa en docs/seguridad/escaneos/despues/. Recomendado: re-escanear la versión final, porque Keycloak 26.7.5, IAM y LOG se integraron después del 12/10.</t>
        </is>
      </c>
    </row>
    <row r="31">
      <c r="A31" s="25" t="inlineStr">
        <is>
          <t>DEP-01</t>
        </is>
      </c>
      <c r="B31" s="26" t="inlineStr">
        <is>
          <t>SINS-57</t>
        </is>
      </c>
      <c r="C31" s="21" t="inlineStr">
        <is>
          <t>Sistema ejecutable publicado (enlace de la rúbrica)</t>
        </is>
      </c>
      <c r="D31" s="34" t="inlineStr">
        <is>
          <t>Juanjo</t>
        </is>
      </c>
      <c r="E31" s="12" t="inlineStr">
        <is>
          <t>Nicole</t>
        </is>
      </c>
      <c r="F31" s="12" t="inlineStr">
        <is>
          <t>Hardening y escaneo</t>
        </is>
      </c>
      <c r="G31" s="12" t="inlineStr">
        <is>
          <t>Código</t>
        </is>
      </c>
      <c r="H31" s="12" t="inlineStr">
        <is>
          <t>Entregables</t>
        </is>
      </c>
      <c r="I31" s="13" t="inlineStr">
        <is>
          <t>Lun 12</t>
        </is>
      </c>
      <c r="J31" s="28" t="n">
        <v>46307</v>
      </c>
      <c r="K31" s="13" t="inlineStr">
        <is>
          <t>12:00</t>
        </is>
      </c>
      <c r="L31" s="13" t="inlineStr">
        <is>
          <t>Alta</t>
        </is>
      </c>
      <c r="M31" s="48" t="n">
        <v>3</v>
      </c>
      <c r="N31" s="12" t="inlineStr">
        <is>
          <t>HARD-01, IAM-03</t>
        </is>
      </c>
      <c r="O31" s="12" t="inlineStr">
        <is>
          <t>C-03</t>
        </is>
      </c>
      <c r="P31" s="12" t="inlineStr">
        <is>
          <t>Túnel de Cloudflare existente hacia el gateway y el frontend (y Keycloak si se usa su consola), con HTTPS. Usuarios de prueba por rol documentados en la bóveda. Verificar el acceso desde una red externa (datos móviles).</t>
        </is>
      </c>
      <c r="Q31" s="12" t="inlineStr">
        <is>
          <t>El enlace público funciona y está anotado en el informe.</t>
        </is>
      </c>
      <c r="R31" s="12" t="inlineStr">
        <is>
          <t>URL pública y captura desde el móvil</t>
        </is>
      </c>
      <c r="S31" s="29" t="inlineStr">
        <is>
          <t>En curso</t>
        </is>
      </c>
      <c r="T31" s="30" t="inlineStr">
        <is>
          <t>[Revisión de código 23/10] El servicio cloudflared está listo en compose (perfil publico), pero no hay token configurado ni URL pública confirmada; el deploy al VPS está pausado.</t>
        </is>
      </c>
    </row>
    <row r="32">
      <c r="A32" s="25" t="inlineStr">
        <is>
          <t>CRY-01</t>
        </is>
      </c>
      <c r="B32" s="26" t="inlineStr">
        <is>
          <t>SINS-4</t>
        </is>
      </c>
      <c r="C32" s="21" t="inlineStr">
        <is>
          <t>Inventario criptográfico y estándar de algoritmos</t>
        </is>
      </c>
      <c r="D32" s="35" t="inlineStr">
        <is>
          <t>Alvaro</t>
        </is>
      </c>
      <c r="E32" s="12" t="inlineStr">
        <is>
          <t>Nicole</t>
        </is>
      </c>
      <c r="F32" s="12" t="inlineStr">
        <is>
          <t>Criptografía e integridad</t>
        </is>
      </c>
      <c r="G32" s="12" t="inlineStr">
        <is>
          <t>Documento GRC</t>
        </is>
      </c>
      <c r="H32" s="12" t="inlineStr">
        <is>
          <t>9.3, anexo</t>
        </is>
      </c>
      <c r="I32" s="13" t="inlineStr">
        <is>
          <t>Sáb 10</t>
        </is>
      </c>
      <c r="J32" s="28" t="n">
        <v>46305</v>
      </c>
      <c r="K32" s="13" t="inlineStr">
        <is>
          <t>14:00</t>
        </is>
      </c>
      <c r="L32" s="13" t="inlineStr">
        <is>
          <t>Alta</t>
        </is>
      </c>
      <c r="M32" s="48" t="n">
        <v>3</v>
      </c>
      <c r="N32" s="12" t="inlineStr">
        <is>
          <t>—</t>
        </is>
      </c>
      <c r="O32" s="12" t="inlineStr">
        <is>
          <t>CRY-04, PO-05</t>
        </is>
      </c>
      <c r="P32" s="12" t="inlineStr">
        <is>
          <t>Tabla con mecanismo, propósito, ubicación (servicio/archivo), algoritmo, longitud de clave, gestión de la clave y estado. Incluye: Argon2id (contraseñas), AES-256-GCM + HKDF-SHA256 por tenant (narrativa clínica, ms-criptografia), HMAC-SHA256 (webhook de Meta), SHA-256 (documentos, consentimientos, cadena de la bitácora, firma de encuentros), JWT HS256 (evaluar RS256), TLS (Aiven sslMode=REQUIRED, túnel HTTPS) y OTP con hash y sal. Algoritmos prohibidos: MD5, SHA-1, DES/3DES, RC4, ECB.</t>
        </is>
      </c>
      <c r="Q32" s="12" t="inlineStr">
        <is>
          <t>La tabla está revisada por Nicole y sirve de base a PO-05 y al anexo de criptografía.</t>
        </is>
      </c>
      <c r="R32" s="12" t="inlineStr">
        <is>
          <t>Inventario_Criptografico.xlsx</t>
        </is>
      </c>
      <c r="S32" s="29" t="inlineStr">
        <is>
          <t>Pendiente</t>
        </is>
      </c>
      <c r="T32" s="30" t="inlineStr"/>
    </row>
    <row r="33">
      <c r="A33" s="25" t="inlineStr">
        <is>
          <t>CRY-02</t>
        </is>
      </c>
      <c r="B33" s="26" t="inlineStr">
        <is>
          <t>SINS-5</t>
        </is>
      </c>
      <c r="C33" s="21" t="inlineStr">
        <is>
          <t>Verificación de integridad por hash en documentos (ms-documental)</t>
        </is>
      </c>
      <c r="D33" s="35" t="inlineStr">
        <is>
          <t>Alvaro</t>
        </is>
      </c>
      <c r="E33" s="12" t="inlineStr">
        <is>
          <t>—</t>
        </is>
      </c>
      <c r="F33" s="12" t="inlineStr">
        <is>
          <t>Criptografía e integridad</t>
        </is>
      </c>
      <c r="G33" s="12" t="inlineStr">
        <is>
          <t>Código</t>
        </is>
      </c>
      <c r="H33" s="12" t="inlineStr">
        <is>
          <t>8, anexo</t>
        </is>
      </c>
      <c r="I33" s="13" t="inlineStr">
        <is>
          <t>Sáb 10</t>
        </is>
      </c>
      <c r="J33" s="28" t="n">
        <v>46305</v>
      </c>
      <c r="K33" s="13" t="inlineStr">
        <is>
          <t>19:00</t>
        </is>
      </c>
      <c r="L33" s="13" t="inlineStr">
        <is>
          <t>Alta</t>
        </is>
      </c>
      <c r="M33" s="48" t="n">
        <v>4</v>
      </c>
      <c r="N33" s="12" t="inlineStr">
        <is>
          <t>—</t>
        </is>
      </c>
      <c r="O33" s="12" t="inlineStr">
        <is>
          <t>C-03, CRY-04, PR-05, INF-02</t>
        </is>
      </c>
      <c r="P33" s="12" t="inlineStr">
        <is>
          <t>ms-documental ya guarda sha256_hash al subir un archivo. Agregar la verificación al descargar: recalcular y comparar; si no coincide, responder 409 INTEGRITY_MISMATCH y registrar un evento de auditoría. Nuevo endpoint GET /api/v1/documents/{id}/integrity (hash esperado vs calculado). Verificar también el PDF de los consentimientos firmados.</t>
        </is>
      </c>
      <c r="Q33" s="12" t="inlineStr">
        <is>
          <t>Demo: al alterar el objeto en MinIO, la descarga se bloquea y queda registrada. Hay tests.</t>
        </is>
      </c>
      <c r="R33" s="12" t="inlineStr">
        <is>
          <t>Antes/después de alterar el objeto</t>
        </is>
      </c>
      <c r="S33" s="29" t="inlineStr">
        <is>
          <t>Hecha</t>
        </is>
      </c>
      <c r="T33" s="30" t="inlineStr">
        <is>
          <t>[Revisión de código 23/10] La descarga se bloquea con 409 INTEGRITY_MISMATCH y evento de auditoría; GET /documents/{id}/integrity (permiso documents.document.read); cubre los consentimientos firmados. Tests.</t>
        </is>
      </c>
    </row>
    <row r="34">
      <c r="A34" s="25" t="inlineStr">
        <is>
          <t>CRY-03</t>
        </is>
      </c>
      <c r="B34" s="26" t="inlineStr">
        <is>
          <t>SINS-6</t>
        </is>
      </c>
      <c r="C34" s="21" t="inlineStr">
        <is>
          <t>Checksums de artefactos y archivos (SHA256SUMS)</t>
        </is>
      </c>
      <c r="D34" s="35" t="inlineStr">
        <is>
          <t>Alvaro</t>
        </is>
      </c>
      <c r="E34" s="12" t="inlineStr">
        <is>
          <t>—</t>
        </is>
      </c>
      <c r="F34" s="12" t="inlineStr">
        <is>
          <t>Criptografía e integridad</t>
        </is>
      </c>
      <c r="G34" s="12" t="inlineStr">
        <is>
          <t>Código</t>
        </is>
      </c>
      <c r="H34" s="12" t="inlineStr">
        <is>
          <t>anexo</t>
        </is>
      </c>
      <c r="I34" s="13" t="inlineStr">
        <is>
          <t>Sáb 10</t>
        </is>
      </c>
      <c r="J34" s="28" t="n">
        <v>46305</v>
      </c>
      <c r="K34" s="13" t="inlineStr">
        <is>
          <t>21:00</t>
        </is>
      </c>
      <c r="L34" s="13" t="inlineStr">
        <is>
          <t>Media</t>
        </is>
      </c>
      <c r="M34" s="48" t="n">
        <v>2</v>
      </c>
      <c r="N34" s="12" t="inlineStr">
        <is>
          <t>—</t>
        </is>
      </c>
      <c r="O34" s="12" t="inlineStr">
        <is>
          <t>CRY-04, PR-05</t>
        </is>
      </c>
      <c r="P34" s="12" t="inlineStr">
        <is>
          <t>Script scripts/checksums.sh (y .ps1) que genera SHA256SUMS de los JAR, las imágenes, el export del realm y los PDF de entrega, y los verifica con sha256sum -c. Comparar con CRC32 y MD5 para explicar la diferencia entre checksum y hash criptográfico. Publicar SHA256SUMS junto a la entrega.</t>
        </is>
      </c>
      <c r="Q34" s="12" t="inlineStr">
        <is>
          <t>Al modificar 1 byte, la verificación falla (captura).</t>
        </is>
      </c>
      <c r="R34" s="12" t="inlineStr">
        <is>
          <t>SHA256SUMS y captura de la verificación fallida</t>
        </is>
      </c>
      <c r="S34" s="29" t="inlineStr">
        <is>
          <t>Hecha</t>
        </is>
      </c>
      <c r="T34" s="30" t="inlineStr">
        <is>
          <t>[Revisión de código 23/10] scripts/checksums.sh y checksums.ps1 con SHA-256 y comparación con CRC32 y MD5.</t>
        </is>
      </c>
    </row>
    <row r="35">
      <c r="A35" s="25" t="inlineStr">
        <is>
          <t>CRY-04</t>
        </is>
      </c>
      <c r="B35" s="26" t="inlineStr">
        <is>
          <t>SINS-16</t>
        </is>
      </c>
      <c r="C35" s="21" t="inlineStr">
        <is>
          <t>Anexo y demostración de criptografía</t>
        </is>
      </c>
      <c r="D35" s="35" t="inlineStr">
        <is>
          <t>Alvaro</t>
        </is>
      </c>
      <c r="E35" s="12" t="inlineStr">
        <is>
          <t>—</t>
        </is>
      </c>
      <c r="F35" s="12" t="inlineStr">
        <is>
          <t>Criptografía e integridad</t>
        </is>
      </c>
      <c r="G35" s="12" t="inlineStr">
        <is>
          <t>Informe</t>
        </is>
      </c>
      <c r="H35" s="12" t="inlineStr">
        <is>
          <t>9.3, anexo</t>
        </is>
      </c>
      <c r="I35" s="13" t="inlineStr">
        <is>
          <t>Lun 12</t>
        </is>
      </c>
      <c r="J35" s="28" t="n">
        <v>46307</v>
      </c>
      <c r="K35" s="13" t="inlineStr">
        <is>
          <t>15:00</t>
        </is>
      </c>
      <c r="L35" s="13" t="inlineStr">
        <is>
          <t>Alta</t>
        </is>
      </c>
      <c r="M35" s="48" t="n">
        <v>3</v>
      </c>
      <c r="N35" s="12" t="inlineStr">
        <is>
          <t>CRY-01, CRY-02, CRY-03</t>
        </is>
      </c>
      <c r="O35" s="12" t="inlineStr">
        <is>
          <t>INF-09</t>
        </is>
      </c>
      <c r="P35" s="12" t="inlineStr">
        <is>
          <t>Guion de demo para la defensa: la nota clínica aparece cifrada en la BD (consulta SQL) y legible solo vía la app autorizada; contraseñas en Argon2id dentro de Keycloak; HMAC del webhook; hash de documentos; diferencias entre hash, HMAC, cifrado y firma. Redactar el anexo de criptografía y el párrafo de «protocolo de encriptación» de la sección 9.3.</t>
        </is>
      </c>
      <c r="Q35" s="12" t="inlineStr">
        <is>
          <t>El anexo está en el informe y la demo se ensayó en menos de 3 minutos.</t>
        </is>
      </c>
      <c r="R35" s="12" t="inlineStr">
        <is>
          <t>Anexo redactado</t>
        </is>
      </c>
      <c r="S35" s="29" t="inlineStr">
        <is>
          <t>Pendiente</t>
        </is>
      </c>
      <c r="T35" s="30" t="inlineStr"/>
    </row>
    <row r="36">
      <c r="A36" s="25" t="inlineStr">
        <is>
          <t>LOG-01</t>
        </is>
      </c>
      <c r="B36" s="26" t="inlineStr">
        <is>
          <t>SINS-7</t>
        </is>
      </c>
      <c r="C36" s="21" t="inlineStr">
        <is>
          <t>Cliente de auditoría en ms-identidad + eventos de autenticación</t>
        </is>
      </c>
      <c r="D36" s="35" t="inlineStr">
        <is>
          <t>Alvaro</t>
        </is>
      </c>
      <c r="E36" s="12" t="inlineStr">
        <is>
          <t>Nicole</t>
        </is>
      </c>
      <c r="F36" s="12" t="inlineStr">
        <is>
          <t>Logs de seguridad</t>
        </is>
      </c>
      <c r="G36" s="12" t="inlineStr">
        <is>
          <t>Código</t>
        </is>
      </c>
      <c r="H36" s="12" t="inlineStr">
        <is>
          <t>12</t>
        </is>
      </c>
      <c r="I36" s="13" t="inlineStr">
        <is>
          <t>Dom 11</t>
        </is>
      </c>
      <c r="J36" s="28" t="n">
        <v>46306</v>
      </c>
      <c r="K36" s="13" t="inlineStr">
        <is>
          <t>13:00</t>
        </is>
      </c>
      <c r="L36" s="13" t="inlineStr">
        <is>
          <t>Alta</t>
        </is>
      </c>
      <c r="M36" s="48" t="n">
        <v>3</v>
      </c>
      <c r="N36" s="12" t="inlineStr">
        <is>
          <t>—</t>
        </is>
      </c>
      <c r="O36" s="12" t="inlineStr">
        <is>
          <t>LOG-02</t>
        </is>
      </c>
      <c r="P36" s="12" t="inlineStr">
        <is>
          <t>Cliente HTTP hacia /internal/v1/audit-events de ms-auditoria (mismo contrato que usan pacientes e historial, tolerante a fallos). Eventos LOGIN_SUCCESS, LOGIN_FAILED, ACCOUNT_LOCKED y LOGOUT con actor, IP, user-agent, correlation id y resultado, sin contraseñas. Coordinar con Nicole porque IAM-03 cambia AuthService.</t>
        </is>
      </c>
      <c r="Q36" s="12" t="inlineStr">
        <is>
          <t>Los eventos aparecen en audit_db y la cadena de hash es válida.</t>
        </is>
      </c>
      <c r="R36" s="12" t="inlineStr">
        <is>
          <t>Consulta de audit_db o captura</t>
        </is>
      </c>
      <c r="S36" s="29" t="inlineStr">
        <is>
          <t>Hecha</t>
        </is>
      </c>
      <c r="T36" s="30" t="inlineStr">
        <is>
          <t>[Corregido 24/10] La IP guardada es la del usuario: el gateway la calcula (solo cree X-Forwarded-For de un proxy interno) y la pasa en X-Client-Ip, que descarta si la manda el cliente. Verificado en e2e.sh.
[Revisión de código 23/10] LOGIN_SUCCESS, LOGIN_FAILED, ACCOUNT_LOCKED y LOGOUT llegan a audit_db; cadena de hash íntegra (155 eventos). Corregido el 23/10: los intentos fallidos y con correos inexistentes se perdían.
[Frontend 24/10] Observación: la IP que se guarda es la del gateway (172.19.x.x), no la del usuario: AuditTrail usa request.getRemoteAddr() y nadie lee X-Forwarded-For.</t>
        </is>
      </c>
    </row>
    <row r="37">
      <c r="A37" s="25" t="inlineStr">
        <is>
          <t>LOG-02</t>
        </is>
      </c>
      <c r="B37" s="26" t="inlineStr">
        <is>
          <t>SINS-60</t>
        </is>
      </c>
      <c r="C37" s="21" t="inlineStr">
        <is>
          <t>Eventos de seguridad de ABM, roles y contraseñas</t>
        </is>
      </c>
      <c r="D37" s="35" t="inlineStr">
        <is>
          <t>Alvaro</t>
        </is>
      </c>
      <c r="E37" s="12" t="inlineStr">
        <is>
          <t>—</t>
        </is>
      </c>
      <c r="F37" s="12" t="inlineStr">
        <is>
          <t>Logs de seguridad</t>
        </is>
      </c>
      <c r="G37" s="12" t="inlineStr">
        <is>
          <t>Código</t>
        </is>
      </c>
      <c r="H37" s="12" t="inlineStr">
        <is>
          <t>12</t>
        </is>
      </c>
      <c r="I37" s="13" t="inlineStr">
        <is>
          <t>Lun 12</t>
        </is>
      </c>
      <c r="J37" s="28" t="n">
        <v>46307</v>
      </c>
      <c r="K37" s="13" t="inlineStr">
        <is>
          <t>13:00</t>
        </is>
      </c>
      <c r="L37" s="13" t="inlineStr">
        <is>
          <t>Alta</t>
        </is>
      </c>
      <c r="M37" s="48" t="n">
        <v>3</v>
      </c>
      <c r="N37" s="12" t="inlineStr">
        <is>
          <t>LOG-01, IAM-04, IAM-05, RBAC-02</t>
        </is>
      </c>
      <c r="O37" s="12" t="inlineStr">
        <is>
          <t>LOG-04, PR-06, INF-02, INF-07</t>
        </is>
      </c>
      <c r="P37" s="12" t="inlineStr">
        <is>
          <t>Eventos USER_CREATED/UPDATED/DISABLED, ROLE_CREATED/DISABLED, ROLE_ASSIGNED/REVOKED, ROLE_PERMISSIONS_CHANGED, ACCOUNT_UNLOCKED, PASSWORD_RESET, PASSWORD_CHANGED y ACCESS_DENIED (los 403 de los interceptores).</t>
        </is>
      </c>
      <c r="Q37" s="12" t="inlineStr">
        <is>
          <t>Cada acción de la demo deja su evento con actor y objetivo.</t>
        </is>
      </c>
      <c r="R37" s="12" t="inlineStr">
        <is>
          <t>Captura de la bitácora tras la demo</t>
        </is>
      </c>
      <c r="S37" s="29" t="inlineStr">
        <is>
          <t>Hecha</t>
        </is>
      </c>
      <c r="T37" s="30" t="inlineStr">
        <is>
          <t>[Corregido 24/10] Ahora también se auditan los roles (ROLE_CREATED/UPDATED/DISABLED/PERMISSIONS_CHANGED/ASSIGNABLE_ROLES_CHANGED/INCOMPATIBILITY_*) y los 403 de todos los servicios, que registra el gateway como ACCESS_DENIED. Verificado en e2e.sh.
[Revisión de código 23/10] Verificado en la bitácora: USER_CREATED/UPDATED/DISABLED, ACCOUNT_LOCKED/UNLOCKED, PASSWORD_RESET/CHANGED. Implementado sin prueba en vivo: ROLE_ASSIGNED/REVOKED y ACCESS_DENIED de identidad. Falta: ROLE_CREATED/DISABLED/PERMISSIONS_CHANGED (RoleManagementService no audita) y ACCESS_DENIED en los interceptores de los demás servicios.</t>
        </is>
      </c>
    </row>
    <row r="38">
      <c r="A38" s="25" t="inlineStr">
        <is>
          <t>LOG-03</t>
        </is>
      </c>
      <c r="B38" s="26" t="inlineStr">
        <is>
          <t>SINS-8</t>
        </is>
      </c>
      <c r="C38" s="21" t="inlineStr">
        <is>
          <t>Logs de aplicación seguros (OWASP A09)</t>
        </is>
      </c>
      <c r="D38" s="35" t="inlineStr">
        <is>
          <t>Alvaro</t>
        </is>
      </c>
      <c r="E38" s="12" t="inlineStr">
        <is>
          <t>Juanjo</t>
        </is>
      </c>
      <c r="F38" s="12" t="inlineStr">
        <is>
          <t>Logs de seguridad</t>
        </is>
      </c>
      <c r="G38" s="12" t="inlineStr">
        <is>
          <t>Código</t>
        </is>
      </c>
      <c r="H38" s="12" t="inlineStr">
        <is>
          <t>12</t>
        </is>
      </c>
      <c r="I38" s="13" t="inlineStr">
        <is>
          <t>Dom 11</t>
        </is>
      </c>
      <c r="J38" s="28" t="n">
        <v>46306</v>
      </c>
      <c r="K38" s="13" t="inlineStr">
        <is>
          <t>16:00</t>
        </is>
      </c>
      <c r="L38" s="13" t="inlineStr">
        <is>
          <t>Media</t>
        </is>
      </c>
      <c r="M38" s="48" t="n">
        <v>2</v>
      </c>
      <c r="N38" s="12" t="inlineStr">
        <is>
          <t>—</t>
        </is>
      </c>
      <c r="O38" s="12" t="inlineStr">
        <is>
          <t>INF-07</t>
        </is>
      </c>
      <c r="P38" s="12" t="inlineStr">
        <is>
          <t>Formato estructurado con correlation id en todos los servicios y niveles coherentes. Revisar que no se registren contraseñas, tokens, OTP ni datos clínicos, y que las excepciones no devuelvan detalles internos al cliente. Documentar la retención (ya configurada en compose: 10 MB × 3 archivos).</t>
        </is>
      </c>
      <c r="Q38" s="12" t="inlineStr">
        <is>
          <t>Una muestra de logs de un flujo completo no contiene datos sensibles y la lista de correcciones está en el PR.</t>
        </is>
      </c>
      <c r="R38" s="12" t="inlineStr">
        <is>
          <t>Muestra de logs anonimizada</t>
        </is>
      </c>
      <c r="S38" s="29" t="inlineStr">
        <is>
          <t>Hecha</t>
        </is>
      </c>
      <c r="T38" s="30" t="inlineStr">
        <is>
          <t>[Corregido 24/10] ms-gateway con logback estructurado y correlation id en el MDC: los 14 servicios con el mismo formato.
[Revisión de código 23/10] Logback estructurado con correlation id en 13 de 14 servicios: falta ms-gateway. Una muestra de logs del flujo completo no contiene tokens ni contraseñas.</t>
        </is>
      </c>
    </row>
    <row r="39">
      <c r="A39" s="25" t="inlineStr">
        <is>
          <t>LOG-04</t>
        </is>
      </c>
      <c r="B39" s="26" t="inlineStr">
        <is>
          <t>SINS-62</t>
        </is>
      </c>
      <c r="C39" s="21" t="inlineStr">
        <is>
          <t>Consulta de logs de seguridad en la app</t>
        </is>
      </c>
      <c r="D39" s="35" t="inlineStr">
        <is>
          <t>Alvaro</t>
        </is>
      </c>
      <c r="E39" s="12" t="inlineStr">
        <is>
          <t>—</t>
        </is>
      </c>
      <c r="F39" s="12" t="inlineStr">
        <is>
          <t>Logs de seguridad</t>
        </is>
      </c>
      <c r="G39" s="12" t="inlineStr">
        <is>
          <t>Código</t>
        </is>
      </c>
      <c r="H39" s="12" t="inlineStr">
        <is>
          <t>12</t>
        </is>
      </c>
      <c r="I39" s="13" t="inlineStr">
        <is>
          <t>Lun 12</t>
        </is>
      </c>
      <c r="J39" s="28" t="n">
        <v>46307</v>
      </c>
      <c r="K39" s="13" t="inlineStr">
        <is>
          <t>17:00</t>
        </is>
      </c>
      <c r="L39" s="13" t="inlineStr">
        <is>
          <t>Media</t>
        </is>
      </c>
      <c r="M39" s="48" t="n">
        <v>3</v>
      </c>
      <c r="N39" s="12" t="inlineStr">
        <is>
          <t>LOG-02, RBAC-03</t>
        </is>
      </c>
      <c r="O39" s="12" t="inlineStr">
        <is>
          <t>C-03, INF-07</t>
        </is>
      </c>
      <c r="P39" s="12" t="inlineStr">
        <is>
          <t>Pantalla de bitácora (usuario, acción, fecha, resultado, IP) con filtros y botón «verificar integridad», que usa el endpoint existente de ms-auditoria. Protegida con audit.log.read (solo AUDITOR y ADMIN).</t>
        </is>
      </c>
      <c r="Q39" s="12" t="inlineStr">
        <is>
          <t>Demo filtrando los intentos fallidos y los bloqueos del día.</t>
        </is>
      </c>
      <c r="R39" s="12" t="inlineStr">
        <is>
          <t>Captura de la pantalla</t>
        </is>
      </c>
      <c r="S39" s="29" t="inlineStr">
        <is>
          <t>Hecha</t>
        </is>
      </c>
      <c r="T39" s="30" t="inlineStr">
        <is>
          <t>[Frontend 24/10] Pantalla de bitácora verificada en el navegador: cadena íntegra (158 eventos), resumen, filtros por área/resultado/acción, columna IP, exportación CSV y botón Verificar integridad. Solo ve la ruta quien tiene el permiso.</t>
        </is>
      </c>
    </row>
    <row r="40">
      <c r="A40" s="25" t="inlineStr">
        <is>
          <t>GRC-00</t>
        </is>
      </c>
      <c r="B40" s="26" t="inlineStr">
        <is>
          <t>SINS-17</t>
        </is>
      </c>
      <c r="C40" s="21" t="inlineStr">
        <is>
          <t>Plantilla de políticas y procedimientos + carpeta compartida</t>
        </is>
      </c>
      <c r="D40" s="32" t="inlineStr">
        <is>
          <t>Favian</t>
        </is>
      </c>
      <c r="E40" s="12" t="inlineStr">
        <is>
          <t>—</t>
        </is>
      </c>
      <c r="F40" s="12" t="inlineStr">
        <is>
          <t>Documentación GRC</t>
        </is>
      </c>
      <c r="G40" s="12" t="inlineStr">
        <is>
          <t>Documento GRC</t>
        </is>
      </c>
      <c r="H40" s="12" t="inlineStr">
        <is>
          <t>Anexos</t>
        </is>
      </c>
      <c r="I40" s="13" t="inlineStr">
        <is>
          <t>Sáb 10</t>
        </is>
      </c>
      <c r="J40" s="28" t="n">
        <v>46305</v>
      </c>
      <c r="K40" s="13" t="inlineStr">
        <is>
          <t>11:00</t>
        </is>
      </c>
      <c r="L40" s="13" t="inlineStr">
        <is>
          <t>Urgente</t>
        </is>
      </c>
      <c r="M40" s="48" t="n">
        <v>1</v>
      </c>
      <c r="N40" s="12" t="inlineStr">
        <is>
          <t>C-01</t>
        </is>
      </c>
      <c r="O40" s="12" t="inlineStr">
        <is>
          <t>GRC-02, PO-01, PO-02, PO-03, PO-04, PO-05, PO-06, PO-07, PR-01, PR-02, PR-03, PR-04, PR-05, PR-06, PR-07, PR-08</t>
        </is>
      </c>
      <c r="P40" s="12" t="inlineStr">
        <is>
          <t>Plantilla con encabezado (código PO-xx/PR-xx, versión, fecha, clasificación del documento), objetivo, alcance, referencias (ISO/IEC 27001 y 27002, normativa nacional aplicable), roles y responsabilidades, definiciones, lineamientos o pasos, cumplimiento y sanciones, revisión, control de cambios y aprobación. Los procedimientos llevan además diagrama de flujo, entradas, salidas y registros. Crear la estructura de carpetas: 01-Informe, 02-Políticas, 03-Procedimientos, 04-Matrices, 05-ISO27002, 06-Brechas, 07-Riesgos, 08-Escaneos, 09-Evidencias, 10-Presentación-Póster.</t>
        </is>
      </c>
      <c r="Q40" s="12" t="inlineStr">
        <is>
          <t>La plantilla está publicada antes de las 11:00 y todos la usan.</t>
        </is>
      </c>
      <c r="R40" s="12" t="inlineStr">
        <is>
          <t>Plantilla_Politica.docx, Plantilla_Procedimiento.docx</t>
        </is>
      </c>
      <c r="S40" s="29" t="inlineStr">
        <is>
          <t>Pendiente</t>
        </is>
      </c>
      <c r="T40" s="30" t="inlineStr"/>
    </row>
    <row r="41">
      <c r="A41" s="25" t="inlineStr">
        <is>
          <t>GRC-01</t>
        </is>
      </c>
      <c r="B41" s="26" t="inlineStr">
        <is>
          <t>SINS-18</t>
        </is>
      </c>
      <c r="C41" s="21" t="inlineStr">
        <is>
          <t>Inventario de activos de información</t>
        </is>
      </c>
      <c r="D41" s="32" t="inlineStr">
        <is>
          <t>Favian</t>
        </is>
      </c>
      <c r="E41" s="12" t="inlineStr">
        <is>
          <t>Alan</t>
        </is>
      </c>
      <c r="F41" s="12" t="inlineStr">
        <is>
          <t>Documentación GRC</t>
        </is>
      </c>
      <c r="G41" s="12" t="inlineStr">
        <is>
          <t>Documento GRC</t>
        </is>
      </c>
      <c r="H41" s="12" t="inlineStr">
        <is>
          <t>14, 15, anexo</t>
        </is>
      </c>
      <c r="I41" s="13" t="inlineStr">
        <is>
          <t>Sáb 10</t>
        </is>
      </c>
      <c r="J41" s="28" t="n">
        <v>46305</v>
      </c>
      <c r="K41" s="13" t="inlineStr">
        <is>
          <t>15:00</t>
        </is>
      </c>
      <c r="L41" s="13" t="inlineStr">
        <is>
          <t>Urgente</t>
        </is>
      </c>
      <c r="M41" s="48" t="n">
        <v>3</v>
      </c>
      <c r="N41" s="12" t="inlineStr">
        <is>
          <t>C-01</t>
        </is>
      </c>
      <c r="O41" s="12" t="inlineStr">
        <is>
          <t>GRC-02, RSK-01</t>
        </is>
      </c>
      <c r="P41" s="12" t="inlineStr">
        <is>
          <t>Activos de MedicalSys. Información: historia clínica, datos de pacientes, consentimientos, facturas, credenciales, claves de cifrado, bitácora. Software: 13 microservicios, frontend, Keycloak. Servicios: Aiven MySQL, MinIO, Kafka, Redis, WhatsApp de Meta, Cloudflare. Personas y roles. Indicar el propietario y el custodio de cada uno.</t>
        </is>
      </c>
      <c r="Q41" s="12" t="inlineStr">
        <is>
          <t>Al menos 25 activos con propietario. Lo usan GRC-02 y RSK-01.</t>
        </is>
      </c>
      <c r="R41" s="12" t="inlineStr">
        <is>
          <t>Inventario_Activos.xlsx</t>
        </is>
      </c>
      <c r="S41" s="29" t="inlineStr">
        <is>
          <t>Pendiente</t>
        </is>
      </c>
      <c r="T41" s="30" t="inlineStr"/>
    </row>
    <row r="42">
      <c r="A42" s="25" t="inlineStr">
        <is>
          <t>GRC-02</t>
        </is>
      </c>
      <c r="B42" s="26" t="inlineStr">
        <is>
          <t>SINS-29</t>
        </is>
      </c>
      <c r="C42" s="21" t="inlineStr">
        <is>
          <t>Formulario de clasificación de la información</t>
        </is>
      </c>
      <c r="D42" s="32" t="inlineStr">
        <is>
          <t>Favian</t>
        </is>
      </c>
      <c r="E42" s="12" t="inlineStr">
        <is>
          <t>—</t>
        </is>
      </c>
      <c r="F42" s="12" t="inlineStr">
        <is>
          <t>Documentación GRC</t>
        </is>
      </c>
      <c r="G42" s="12" t="inlineStr">
        <is>
          <t>Documento GRC</t>
        </is>
      </c>
      <c r="H42" s="12" t="inlineStr">
        <is>
          <t>anexo</t>
        </is>
      </c>
      <c r="I42" s="13" t="inlineStr">
        <is>
          <t>Sáb 10</t>
        </is>
      </c>
      <c r="J42" s="28" t="n">
        <v>46305</v>
      </c>
      <c r="K42" s="13" t="inlineStr">
        <is>
          <t>20:00</t>
        </is>
      </c>
      <c r="L42" s="13" t="inlineStr">
        <is>
          <t>Urgente</t>
        </is>
      </c>
      <c r="M42" s="48" t="n">
        <v>2</v>
      </c>
      <c r="N42" s="12" t="inlineStr">
        <is>
          <t>GRC-00, GRC-01</t>
        </is>
      </c>
      <c r="O42" s="12" t="inlineStr">
        <is>
          <t>GRC-03, MOD15-01, PO-04, PR-07</t>
        </is>
      </c>
      <c r="P42" s="12" t="inlineStr">
        <is>
          <t>Formulario por activo: identificación, propietario, tipo, valoración C/I/D (1–3) con criterios, requisitos legales, nivel resultante (Pública / Uso interno / Confidencial / Restringida) según una regla explícita (máximo de C/I/D) y controles de etiquetado y manejo. Versión llenable (Google Forms/MS Forms o Excel con validación).</t>
        </is>
      </c>
      <c r="Q42" s="12" t="inlineStr">
        <is>
          <t>El formulario está llenado para todos los activos del inventario.</t>
        </is>
      </c>
      <c r="R42" s="12" t="inlineStr">
        <is>
          <t>Formulario_Clasificacion + respuestas</t>
        </is>
      </c>
      <c r="S42" s="29" t="inlineStr">
        <is>
          <t>Pendiente</t>
        </is>
      </c>
      <c r="T42" s="30" t="inlineStr"/>
    </row>
    <row r="43">
      <c r="A43" s="25" t="inlineStr">
        <is>
          <t>GRC-03</t>
        </is>
      </c>
      <c r="B43" s="26" t="inlineStr">
        <is>
          <t>SINS-44</t>
        </is>
      </c>
      <c r="C43" s="21" t="inlineStr">
        <is>
          <t>Matriz de clasificación de la información</t>
        </is>
      </c>
      <c r="D43" s="32" t="inlineStr">
        <is>
          <t>Favian</t>
        </is>
      </c>
      <c r="E43" s="12" t="inlineStr">
        <is>
          <t>—</t>
        </is>
      </c>
      <c r="F43" s="12" t="inlineStr">
        <is>
          <t>Documentación GRC</t>
        </is>
      </c>
      <c r="G43" s="12" t="inlineStr">
        <is>
          <t>Documento GRC</t>
        </is>
      </c>
      <c r="H43" s="12" t="inlineStr">
        <is>
          <t>anexo</t>
        </is>
      </c>
      <c r="I43" s="13" t="inlineStr">
        <is>
          <t>Dom 11</t>
        </is>
      </c>
      <c r="J43" s="28" t="n">
        <v>46306</v>
      </c>
      <c r="K43" s="13" t="inlineStr">
        <is>
          <t>14:00</t>
        </is>
      </c>
      <c r="L43" s="13" t="inlineStr">
        <is>
          <t>Alta</t>
        </is>
      </c>
      <c r="M43" s="48" t="n">
        <v>3</v>
      </c>
      <c r="N43" s="12" t="inlineStr">
        <is>
          <t>GRC-02</t>
        </is>
      </c>
      <c r="O43" s="12" t="inlineStr">
        <is>
          <t>INF-09</t>
        </is>
      </c>
      <c r="P43" s="12" t="inlineStr">
        <is>
          <t>Consolida los formularios: activo, propietario, C/I/D, nivel, etiqueta, ubicación y controles por nivel (cifrado en reposo y en tránsito, acceso, retención, eliminación segura). Hoja con las reglas de manejo por nivel. Debe ser coherente con la matriz de accesos y con la política de clasificación.</t>
        </is>
      </c>
      <c r="Q43" s="12" t="inlineStr">
        <is>
          <t>La matriz está completa y los activos «Restringida» (historia clínica) muestran los controles reales del sistema (AES-256-GCM, RBAC).</t>
        </is>
      </c>
      <c r="R43" s="12" t="inlineStr">
        <is>
          <t>Matriz_Clasificacion.xlsx</t>
        </is>
      </c>
      <c r="S43" s="29" t="inlineStr">
        <is>
          <t>Pendiente</t>
        </is>
      </c>
      <c r="T43" s="30" t="inlineStr"/>
    </row>
    <row r="44">
      <c r="A44" s="25" t="inlineStr">
        <is>
          <t>ISO-01</t>
        </is>
      </c>
      <c r="B44" s="26" t="inlineStr">
        <is>
          <t>SINS-9</t>
        </is>
      </c>
      <c r="C44" s="21" t="inlineStr">
        <is>
          <t>Tabla de controles ISO/IEC 27002:2022</t>
        </is>
      </c>
      <c r="D44" s="31" t="inlineStr">
        <is>
          <t>Alan</t>
        </is>
      </c>
      <c r="E44" s="12" t="inlineStr">
        <is>
          <t>—</t>
        </is>
      </c>
      <c r="F44" s="12" t="inlineStr">
        <is>
          <t>Documentación GRC</t>
        </is>
      </c>
      <c r="G44" s="12" t="inlineStr">
        <is>
          <t>Documento GRC</t>
        </is>
      </c>
      <c r="H44" s="12" t="inlineStr">
        <is>
          <t>anexo, 15</t>
        </is>
      </c>
      <c r="I44" s="13" t="inlineStr">
        <is>
          <t>Dom 11</t>
        </is>
      </c>
      <c r="J44" s="28" t="n">
        <v>46306</v>
      </c>
      <c r="K44" s="13" t="inlineStr">
        <is>
          <t>15:00</t>
        </is>
      </c>
      <c r="L44" s="13" t="inlineStr">
        <is>
          <t>Alta</t>
        </is>
      </c>
      <c r="M44" s="48" t="n">
        <v>7</v>
      </c>
      <c r="N44" s="12" t="inlineStr">
        <is>
          <t>—</t>
        </is>
      </c>
      <c r="O44" s="12" t="inlineStr">
        <is>
          <t>ISO-02, ISO-03, INF-09</t>
        </is>
      </c>
      <c r="P44" s="12" t="inlineStr">
        <is>
          <t>Los 93 controles en 4 temas (organizacionales 37, personas 8, físicos 14, tecnológicos 34). Por control: aplica (S/N) y justificación, estado en MedicalSys (implementado / parcial / no implementado), evidencia (archivo del repo, captura o política), responsable y acción. Priorizar los tecnológicos (8.x), control de acceso (5.15–5.18), criptografía (8.24), logs (8.15) y vulnerabilidades (8.8).</t>
        </is>
      </c>
      <c r="Q44" s="12" t="inlineStr">
        <is>
          <t>Las 93 filas están completas y hay un % de cumplimiento por tema (gráfico).</t>
        </is>
      </c>
      <c r="R44" s="12" t="inlineStr">
        <is>
          <t>ISO27002_2022_Controles.xlsx</t>
        </is>
      </c>
      <c r="S44" s="29" t="inlineStr">
        <is>
          <t>Pendiente</t>
        </is>
      </c>
      <c r="T44" s="30" t="inlineStr"/>
    </row>
    <row r="45">
      <c r="A45" s="25" t="inlineStr">
        <is>
          <t>ISO-02</t>
        </is>
      </c>
      <c r="B45" s="26" t="inlineStr">
        <is>
          <t>SINS-19</t>
        </is>
      </c>
      <c r="C45" s="21" t="inlineStr">
        <is>
          <t>Tabla de controles ISO/IEC 27002:2013 + mapeo 2013↔2022</t>
        </is>
      </c>
      <c r="D45" s="31" t="inlineStr">
        <is>
          <t>Alan</t>
        </is>
      </c>
      <c r="E45" s="12" t="inlineStr">
        <is>
          <t>—</t>
        </is>
      </c>
      <c r="F45" s="12" t="inlineStr">
        <is>
          <t>Documentación GRC</t>
        </is>
      </c>
      <c r="G45" s="12" t="inlineStr">
        <is>
          <t>Documento GRC</t>
        </is>
      </c>
      <c r="H45" s="12" t="inlineStr">
        <is>
          <t>anexo</t>
        </is>
      </c>
      <c r="I45" s="13" t="inlineStr">
        <is>
          <t>Lun 12</t>
        </is>
      </c>
      <c r="J45" s="28" t="n">
        <v>46307</v>
      </c>
      <c r="K45" s="13" t="inlineStr">
        <is>
          <t>17:00</t>
        </is>
      </c>
      <c r="L45" s="13" t="inlineStr">
        <is>
          <t>Media</t>
        </is>
      </c>
      <c r="M45" s="48" t="n">
        <v>4</v>
      </c>
      <c r="N45" s="12" t="inlineStr">
        <is>
          <t>ISO-01</t>
        </is>
      </c>
      <c r="O45" s="12" t="inlineStr">
        <is>
          <t>—</t>
        </is>
      </c>
      <c r="P45" s="12" t="inlineStr">
        <is>
          <t>Los 114 controles en 14 dominios (A.5–A.18). Reutilizar la evaluación de la 2022 mediante la tabla de correspondencia del Anexo B de la 27002:2022. Hoja de mapeo y lista de los 11 controles nuevos de la 2022.</t>
        </is>
      </c>
      <c r="Q45" s="12" t="inlineStr">
        <is>
          <t>Las 114 filas y el mapeo están completos y las diferencias quedan destacadas.</t>
        </is>
      </c>
      <c r="R45" s="12" t="inlineStr">
        <is>
          <t>ISO27002_2013_Controles.xlsx</t>
        </is>
      </c>
      <c r="S45" s="29" t="inlineStr">
        <is>
          <t>Pendiente</t>
        </is>
      </c>
      <c r="T45" s="30" t="inlineStr"/>
    </row>
    <row r="46">
      <c r="A46" s="25" t="inlineStr">
        <is>
          <t>ISO-03</t>
        </is>
      </c>
      <c r="B46" s="26" t="inlineStr">
        <is>
          <t>SINS-20</t>
        </is>
      </c>
      <c r="C46" s="21" t="inlineStr">
        <is>
          <t>Fichas de evaluación de brechas</t>
        </is>
      </c>
      <c r="D46" s="31" t="inlineStr">
        <is>
          <t>Alan</t>
        </is>
      </c>
      <c r="E46" s="12" t="inlineStr">
        <is>
          <t>—</t>
        </is>
      </c>
      <c r="F46" s="12" t="inlineStr">
        <is>
          <t>Documentación GRC</t>
        </is>
      </c>
      <c r="G46" s="12" t="inlineStr">
        <is>
          <t>Documento GRC</t>
        </is>
      </c>
      <c r="H46" s="12" t="inlineStr">
        <is>
          <t>anexo, 8</t>
        </is>
      </c>
      <c r="I46" s="13" t="inlineStr">
        <is>
          <t>Lun 12</t>
        </is>
      </c>
      <c r="J46" s="28" t="n">
        <v>46307</v>
      </c>
      <c r="K46" s="13" t="inlineStr">
        <is>
          <t>13:00</t>
        </is>
      </c>
      <c r="L46" s="13" t="inlineStr">
        <is>
          <t>Alta</t>
        </is>
      </c>
      <c r="M46" s="48" t="n">
        <v>5</v>
      </c>
      <c r="N46" s="12" t="inlineStr">
        <is>
          <t>ISO-01</t>
        </is>
      </c>
      <c r="O46" s="12" t="inlineStr">
        <is>
          <t>INF-09</t>
        </is>
      </c>
      <c r="P46" s="12" t="inlineStr">
        <is>
          <t>Una ficha por control parcial o no implementado prioritario (mínimo 10–15): control, situación actual, situación deseada, brecha, riesgo asociado, acción correctiva, responsable, fecha, estado y evidencia de cierre (enlazar la tarea de Linear que lo corrige).</t>
        </is>
      </c>
      <c r="Q46" s="12" t="inlineStr">
        <is>
          <t>Las fichas de los controles corregidos en este sprint figuran como «cerrada» con su evidencia.</t>
        </is>
      </c>
      <c r="R46" s="12" t="inlineStr">
        <is>
          <t>Fichas_Brechas.docx/xlsx</t>
        </is>
      </c>
      <c r="S46" s="29" t="inlineStr">
        <is>
          <t>Pendiente</t>
        </is>
      </c>
      <c r="T46" s="30" t="inlineStr"/>
    </row>
    <row r="47">
      <c r="A47" s="25" t="inlineStr">
        <is>
          <t>RSK-01</t>
        </is>
      </c>
      <c r="B47" s="26" t="inlineStr">
        <is>
          <t>SINS-30</t>
        </is>
      </c>
      <c r="C47" s="21" t="inlineStr">
        <is>
          <t>Análisis de riesgos + 2 KRIs (sección 14)</t>
        </is>
      </c>
      <c r="D47" s="31" t="inlineStr">
        <is>
          <t>Alan</t>
        </is>
      </c>
      <c r="E47" s="12" t="inlineStr">
        <is>
          <t>Favian</t>
        </is>
      </c>
      <c r="F47" s="12" t="inlineStr">
        <is>
          <t>Documentación GRC</t>
        </is>
      </c>
      <c r="G47" s="12" t="inlineStr">
        <is>
          <t>Documento GRC</t>
        </is>
      </c>
      <c r="H47" s="12" t="inlineStr">
        <is>
          <t>14</t>
        </is>
      </c>
      <c r="I47" s="13" t="inlineStr">
        <is>
          <t>Dom 11</t>
        </is>
      </c>
      <c r="J47" s="28" t="n">
        <v>46306</v>
      </c>
      <c r="K47" s="13" t="inlineStr">
        <is>
          <t>19:00</t>
        </is>
      </c>
      <c r="L47" s="13" t="inlineStr">
        <is>
          <t>Alta</t>
        </is>
      </c>
      <c r="M47" s="48" t="n">
        <v>4</v>
      </c>
      <c r="N47" s="12" t="inlineStr">
        <is>
          <t>GRC-01</t>
        </is>
      </c>
      <c r="O47" s="12" t="inlineStr">
        <is>
          <t>INF-09</t>
        </is>
      </c>
      <c r="P47" s="12" t="inlineStr">
        <is>
          <t>Metodología: probabilidad × impacto (1–5) y matriz de calor. R1: acceso no autorizado a historias clínicas (control de acceso roto, bypass del gateway). R2: compromiso de credenciales (fuerza bruta, contraseñas débiles, sesiones no revocadas). Por riesgo: amenaza, vulnerabilidad, impacto, nivel inherente, controles implementados en este sprint y riesgo residual. KRI-1: cuentas bloqueadas o intentos de login fallidos por día. KRI-2: accesos denegados (403) por día o vulnerabilidades críticas abiertas. Fuente de los datos: bitácora y escaneo.</t>
        </is>
      </c>
      <c r="Q47" s="12" t="inlineStr">
        <is>
          <t>La sección 14 está redactada y cada KRI tiene fórmula, umbrales verde/ámbar/rojo y fuente.</t>
        </is>
      </c>
      <c r="R47" s="12" t="inlineStr">
        <is>
          <t>Sección 14 + Matriz_Riesgos.xlsx</t>
        </is>
      </c>
      <c r="S47" s="29" t="inlineStr">
        <is>
          <t>Pendiente</t>
        </is>
      </c>
      <c r="T47" s="30" t="inlineStr"/>
    </row>
    <row r="48">
      <c r="A48" s="25" t="inlineStr">
        <is>
          <t>MOD15-01</t>
        </is>
      </c>
      <c r="B48" s="26" t="inlineStr">
        <is>
          <t>SINS-45</t>
        </is>
      </c>
      <c r="C48" s="21" t="inlineStr">
        <is>
          <t>Módulo de seguridad de información fuera del sistema (sección 15)</t>
        </is>
      </c>
      <c r="D48" s="32" t="inlineStr">
        <is>
          <t>Favian</t>
        </is>
      </c>
      <c r="E48" s="12" t="inlineStr">
        <is>
          <t>Alan</t>
        </is>
      </c>
      <c r="F48" s="12" t="inlineStr">
        <is>
          <t>Documentación GRC</t>
        </is>
      </c>
      <c r="G48" s="12" t="inlineStr">
        <is>
          <t>Código</t>
        </is>
      </c>
      <c r="H48" s="12" t="inlineStr">
        <is>
          <t>15</t>
        </is>
      </c>
      <c r="I48" s="13" t="inlineStr">
        <is>
          <t>Lun 12</t>
        </is>
      </c>
      <c r="J48" s="28" t="n">
        <v>46307</v>
      </c>
      <c r="K48" s="13" t="inlineStr">
        <is>
          <t>16:00</t>
        </is>
      </c>
      <c r="L48" s="13" t="inlineStr">
        <is>
          <t>Alta</t>
        </is>
      </c>
      <c r="M48" s="48" t="n">
        <v>6</v>
      </c>
      <c r="N48" s="12" t="inlineStr">
        <is>
          <t>GRC-02, C-01</t>
        </is>
      </c>
      <c r="O48" s="12" t="inlineStr">
        <is>
          <t>INF-09</t>
        </is>
      </c>
      <c r="P48" s="12" t="inlineStr">
        <is>
          <t>Propuesta: herramienta automatizada de clasificación de activos. Formulario web o Forms → cálculo automático del nivel (C/I/D) → matriz de clasificación → dashboard (conteo por nivel, activos sin propietario). Alternativa si se decide así en el kickoff: evaluador ISO 27002 con % de cumplimiento por tema, sobre ISO-01. Implementar en Google Sheets + Apps Script o en una mini app web.</t>
        </is>
      </c>
      <c r="Q48" s="12" t="inlineStr">
        <is>
          <t>La demo funciona en vivo y la sección 15 está redactada con capturas.</t>
        </is>
      </c>
      <c r="R48" s="12" t="inlineStr">
        <is>
          <t>Enlace a la herramienta y capturas</t>
        </is>
      </c>
      <c r="S48" s="29" t="inlineStr">
        <is>
          <t>Pendiente</t>
        </is>
      </c>
      <c r="T48" s="30" t="inlineStr">
        <is>
          <t>[Revisión de código 23/10] Módulo fuera del sistema y de este repo: no se puede verificar aquí.</t>
        </is>
      </c>
    </row>
    <row r="49">
      <c r="A49" s="25" t="inlineStr">
        <is>
          <t>PO-01</t>
        </is>
      </c>
      <c r="B49" s="26" t="inlineStr">
        <is>
          <t>SINS-31</t>
        </is>
      </c>
      <c r="C49" s="21" t="inlineStr">
        <is>
          <t>Política general de seguridad de la información</t>
        </is>
      </c>
      <c r="D49" s="32" t="inlineStr">
        <is>
          <t>Favian</t>
        </is>
      </c>
      <c r="E49" s="12" t="inlineStr">
        <is>
          <t>—</t>
        </is>
      </c>
      <c r="F49" s="12" t="inlineStr">
        <is>
          <t>Políticas</t>
        </is>
      </c>
      <c r="G49" s="12" t="inlineStr">
        <is>
          <t>Documento GRC</t>
        </is>
      </c>
      <c r="H49" s="12" t="inlineStr">
        <is>
          <t>anexo</t>
        </is>
      </c>
      <c r="I49" s="13" t="inlineStr">
        <is>
          <t>Dom 11</t>
        </is>
      </c>
      <c r="J49" s="28" t="n">
        <v>46306</v>
      </c>
      <c r="K49" s="13" t="inlineStr">
        <is>
          <t>12:00</t>
        </is>
      </c>
      <c r="L49" s="13" t="inlineStr">
        <is>
          <t>Alta</t>
        </is>
      </c>
      <c r="M49" s="48" t="n">
        <v>2</v>
      </c>
      <c r="N49" s="12" t="inlineStr">
        <is>
          <t>GRC-00</t>
        </is>
      </c>
      <c r="O49" s="12" t="inlineStr">
        <is>
          <t>—</t>
        </is>
      </c>
      <c r="P49" s="12" t="inlineStr">
        <is>
          <t>Compromiso de la dirección, objetivos de seguridad, alcance (MedicalSys y sus 13 microservicios), roles (propietario, custodio, usuario, oficial de seguridad), principios, marco de políticas específicas (PO-02 a PO-07) y revisión anual.</t>
        </is>
      </c>
      <c r="Q49" s="12" t="inlineStr">
        <is>
          <t>Usa la plantilla GRC-00 y fue revisada por otra persona.</t>
        </is>
      </c>
      <c r="R49" s="12" t="inlineStr">
        <is>
          <t>PO-01.docx</t>
        </is>
      </c>
      <c r="S49" s="29" t="inlineStr">
        <is>
          <t>Pendiente</t>
        </is>
      </c>
      <c r="T49" s="30" t="inlineStr"/>
    </row>
    <row r="50">
      <c r="A50" s="25" t="inlineStr">
        <is>
          <t>PO-02</t>
        </is>
      </c>
      <c r="B50" s="26" t="inlineStr">
        <is>
          <t>SINS-32</t>
        </is>
      </c>
      <c r="C50" s="21" t="inlineStr">
        <is>
          <t>Política de control de acceso</t>
        </is>
      </c>
      <c r="D50" s="33" t="inlineStr">
        <is>
          <t>Franco</t>
        </is>
      </c>
      <c r="E50" s="12" t="inlineStr">
        <is>
          <t>—</t>
        </is>
      </c>
      <c r="F50" s="12" t="inlineStr">
        <is>
          <t>Políticas</t>
        </is>
      </c>
      <c r="G50" s="12" t="inlineStr">
        <is>
          <t>Documento GRC</t>
        </is>
      </c>
      <c r="H50" s="12" t="inlineStr">
        <is>
          <t>9.2, 10</t>
        </is>
      </c>
      <c r="I50" s="13" t="inlineStr">
        <is>
          <t>Sáb 10</t>
        </is>
      </c>
      <c r="J50" s="28" t="n">
        <v>46305</v>
      </c>
      <c r="K50" s="13" t="inlineStr">
        <is>
          <t>21:00</t>
        </is>
      </c>
      <c r="L50" s="13" t="inlineStr">
        <is>
          <t>Alta</t>
        </is>
      </c>
      <c r="M50" s="48" t="n">
        <v>1.5</v>
      </c>
      <c r="N50" s="12" t="inlineStr">
        <is>
          <t>GRC-00, RBAC-01</t>
        </is>
      </c>
      <c r="O50" s="12" t="inlineStr">
        <is>
          <t>—</t>
        </is>
      </c>
      <c r="P50" s="12" t="inlineStr">
        <is>
          <t>RBAC por permisos granulares, mínimo privilegio, segregación de funciones, denegación por defecto, alta y baja de accesos, revisión periódica de accesos y cuentas privilegiadas.</t>
        </is>
      </c>
      <c r="Q50" s="12" t="inlineStr">
        <is>
          <t>Es coherente con RBAC-01 y RBAC-06.</t>
        </is>
      </c>
      <c r="R50" s="12" t="inlineStr">
        <is>
          <t>PO-02.docx</t>
        </is>
      </c>
      <c r="S50" s="29" t="inlineStr">
        <is>
          <t>Pendiente</t>
        </is>
      </c>
      <c r="T50" s="30" t="inlineStr"/>
    </row>
    <row r="51">
      <c r="A51" s="25" t="inlineStr">
        <is>
          <t>PO-03</t>
        </is>
      </c>
      <c r="B51" s="26" t="inlineStr">
        <is>
          <t>SINS-33</t>
        </is>
      </c>
      <c r="C51" s="21" t="inlineStr">
        <is>
          <t>Política de contraseñas y autenticación</t>
        </is>
      </c>
      <c r="D51" s="32" t="inlineStr">
        <is>
          <t>Favian</t>
        </is>
      </c>
      <c r="E51" s="12" t="inlineStr">
        <is>
          <t>Nicole</t>
        </is>
      </c>
      <c r="F51" s="12" t="inlineStr">
        <is>
          <t>Políticas</t>
        </is>
      </c>
      <c r="G51" s="12" t="inlineStr">
        <is>
          <t>Documento GRC</t>
        </is>
      </c>
      <c r="H51" s="12" t="inlineStr">
        <is>
          <t>9.3</t>
        </is>
      </c>
      <c r="I51" s="13" t="inlineStr">
        <is>
          <t>Sáb 10</t>
        </is>
      </c>
      <c r="J51" s="28" t="n">
        <v>46305</v>
      </c>
      <c r="K51" s="13" t="inlineStr">
        <is>
          <t>18:00</t>
        </is>
      </c>
      <c r="L51" s="13" t="inlineStr">
        <is>
          <t>Alta</t>
        </is>
      </c>
      <c r="M51" s="48" t="n">
        <v>1.5</v>
      </c>
      <c r="N51" s="12" t="inlineStr">
        <is>
          <t>GRC-00, C-01</t>
        </is>
      </c>
      <c r="O51" s="12" t="inlineStr">
        <is>
          <t>IAM-02, INF-03</t>
        </is>
      </c>
      <c r="P51" s="12" t="inlineStr">
        <is>
          <t>Con los valores acordados en C-01: longitud mínima 12, complejidad (4 tipos de carácter), vida útil 90 días, historial de 5, bloqueo al 3er intento fallido, desbloqueo solo por un administrador, reinicio con contraseña temporal y cambio obligatorio, almacenamiento Argon2id y uso del gestor de contraseñas. Alimenta directamente la configuración de IAM-02.</t>
        </is>
      </c>
      <c r="Q51" s="12" t="inlineStr">
        <is>
          <t>Los valores son idénticos a los configurados en Keycloak (IAM-02).</t>
        </is>
      </c>
      <c r="R51" s="12" t="inlineStr">
        <is>
          <t>PO-03.docx</t>
        </is>
      </c>
      <c r="S51" s="29" t="inlineStr">
        <is>
          <t>Pendiente</t>
        </is>
      </c>
      <c r="T51" s="30" t="inlineStr"/>
    </row>
    <row r="52">
      <c r="A52" s="25" t="inlineStr">
        <is>
          <t>PO-04</t>
        </is>
      </c>
      <c r="B52" s="26" t="inlineStr">
        <is>
          <t>SINS-46</t>
        </is>
      </c>
      <c r="C52" s="21" t="inlineStr">
        <is>
          <t>Política de clasificación y manejo de la información</t>
        </is>
      </c>
      <c r="D52" s="32" t="inlineStr">
        <is>
          <t>Favian</t>
        </is>
      </c>
      <c r="E52" s="12" t="inlineStr">
        <is>
          <t>—</t>
        </is>
      </c>
      <c r="F52" s="12" t="inlineStr">
        <is>
          <t>Políticas</t>
        </is>
      </c>
      <c r="G52" s="12" t="inlineStr">
        <is>
          <t>Documento GRC</t>
        </is>
      </c>
      <c r="H52" s="12" t="inlineStr">
        <is>
          <t>anexo</t>
        </is>
      </c>
      <c r="I52" s="13" t="inlineStr">
        <is>
          <t>Dom 11</t>
        </is>
      </c>
      <c r="J52" s="28" t="n">
        <v>46306</v>
      </c>
      <c r="K52" s="13" t="inlineStr">
        <is>
          <t>20:00</t>
        </is>
      </c>
      <c r="L52" s="13" t="inlineStr">
        <is>
          <t>Alta</t>
        </is>
      </c>
      <c r="M52" s="48" t="n">
        <v>1.5</v>
      </c>
      <c r="N52" s="12" t="inlineStr">
        <is>
          <t>GRC-00, GRC-02</t>
        </is>
      </c>
      <c r="O52" s="12" t="inlineStr">
        <is>
          <t>—</t>
        </is>
      </c>
      <c r="P52" s="12" t="inlineStr">
        <is>
          <t>Los 4 niveles de clasificación, quién clasifica, etiquetado, manejo por nivel (almacenamiento, transmisión, impresión, retención, eliminación) y reclasificación.</t>
        </is>
      </c>
      <c r="Q52" s="12" t="inlineStr">
        <is>
          <t>Es coherente con GRC-02 y GRC-03.</t>
        </is>
      </c>
      <c r="R52" s="12" t="inlineStr">
        <is>
          <t>PO-04.docx</t>
        </is>
      </c>
      <c r="S52" s="29" t="inlineStr">
        <is>
          <t>Pendiente</t>
        </is>
      </c>
      <c r="T52" s="30" t="inlineStr"/>
    </row>
    <row r="53">
      <c r="A53" s="25" t="inlineStr">
        <is>
          <t>PO-05</t>
        </is>
      </c>
      <c r="B53" s="26" t="inlineStr">
        <is>
          <t>SINS-34</t>
        </is>
      </c>
      <c r="C53" s="21" t="inlineStr">
        <is>
          <t>Política criptográfica y de gestión de claves</t>
        </is>
      </c>
      <c r="D53" s="35" t="inlineStr">
        <is>
          <t>Alvaro</t>
        </is>
      </c>
      <c r="E53" s="12" t="inlineStr">
        <is>
          <t>—</t>
        </is>
      </c>
      <c r="F53" s="12" t="inlineStr">
        <is>
          <t>Políticas</t>
        </is>
      </c>
      <c r="G53" s="12" t="inlineStr">
        <is>
          <t>Documento GRC</t>
        </is>
      </c>
      <c r="H53" s="12" t="inlineStr">
        <is>
          <t>9.3, anexo</t>
        </is>
      </c>
      <c r="I53" s="13" t="inlineStr">
        <is>
          <t>Dom 11</t>
        </is>
      </c>
      <c r="J53" s="28" t="n">
        <v>46306</v>
      </c>
      <c r="K53" s="13" t="inlineStr">
        <is>
          <t>18:00</t>
        </is>
      </c>
      <c r="L53" s="13" t="inlineStr">
        <is>
          <t>Alta</t>
        </is>
      </c>
      <c r="M53" s="48" t="n">
        <v>1.5</v>
      </c>
      <c r="N53" s="12" t="inlineStr">
        <is>
          <t>GRC-00, CRY-01</t>
        </is>
      </c>
      <c r="O53" s="12" t="inlineStr">
        <is>
          <t>—</t>
        </is>
      </c>
      <c r="P53" s="12" t="inlineStr">
        <is>
          <t>Algoritmos aprobados y prohibidos, longitudes mínimas, generación, almacenamiento, rotación y revocación de claves y secretos (DEK por tenant, master key → KMS a futuro), integridad por hash y uso de TLS.</t>
        </is>
      </c>
      <c r="Q53" s="12" t="inlineStr">
        <is>
          <t>Es coherente con CRY-01.</t>
        </is>
      </c>
      <c r="R53" s="12" t="inlineStr">
        <is>
          <t>PO-05.docx</t>
        </is>
      </c>
      <c r="S53" s="29" t="inlineStr">
        <is>
          <t>Pendiente</t>
        </is>
      </c>
      <c r="T53" s="30" t="inlineStr"/>
    </row>
    <row r="54">
      <c r="A54" s="25" t="inlineStr">
        <is>
          <t>PO-06</t>
        </is>
      </c>
      <c r="B54" s="26" t="inlineStr">
        <is>
          <t>SINS-35</t>
        </is>
      </c>
      <c r="C54" s="21" t="inlineStr">
        <is>
          <t>Política de registro y monitoreo (logs)</t>
        </is>
      </c>
      <c r="D54" s="35" t="inlineStr">
        <is>
          <t>Alvaro</t>
        </is>
      </c>
      <c r="E54" s="12" t="inlineStr">
        <is>
          <t>—</t>
        </is>
      </c>
      <c r="F54" s="12" t="inlineStr">
        <is>
          <t>Políticas</t>
        </is>
      </c>
      <c r="G54" s="12" t="inlineStr">
        <is>
          <t>Documento GRC</t>
        </is>
      </c>
      <c r="H54" s="12" t="inlineStr">
        <is>
          <t>12</t>
        </is>
      </c>
      <c r="I54" s="13" t="inlineStr">
        <is>
          <t>Dom 11</t>
        </is>
      </c>
      <c r="J54" s="28" t="n">
        <v>46306</v>
      </c>
      <c r="K54" s="13" t="inlineStr">
        <is>
          <t>20:00</t>
        </is>
      </c>
      <c r="L54" s="13" t="inlineStr">
        <is>
          <t>Media</t>
        </is>
      </c>
      <c r="M54" s="48" t="n">
        <v>1.5</v>
      </c>
      <c r="N54" s="12" t="inlineStr">
        <is>
          <t>GRC-00</t>
        </is>
      </c>
      <c r="O54" s="12" t="inlineStr">
        <is>
          <t>—</t>
        </is>
      </c>
      <c r="P54" s="12" t="inlineStr">
        <is>
          <t>Qué eventos se registran, qué datos NUNCA se registran, integridad (cadena de hash), retención, acceso a los logs (solo auditores) y revisión periódica.</t>
        </is>
      </c>
      <c r="Q54" s="12" t="inlineStr">
        <is>
          <t>Es coherente con LOG-01 a LOG-04.</t>
        </is>
      </c>
      <c r="R54" s="12" t="inlineStr">
        <is>
          <t>PO-06.docx</t>
        </is>
      </c>
      <c r="S54" s="29" t="inlineStr">
        <is>
          <t>Pendiente</t>
        </is>
      </c>
      <c r="T54" s="30" t="inlineStr"/>
    </row>
    <row r="55">
      <c r="A55" s="25" t="inlineStr">
        <is>
          <t>PO-07</t>
        </is>
      </c>
      <c r="B55" s="26" t="inlineStr">
        <is>
          <t>SINS-36</t>
        </is>
      </c>
      <c r="C55" s="21" t="inlineStr">
        <is>
          <t>Política de gestión de vulnerabilidades y desarrollo seguro</t>
        </is>
      </c>
      <c r="D55" s="34" t="inlineStr">
        <is>
          <t>Juanjo</t>
        </is>
      </c>
      <c r="E55" s="12" t="inlineStr">
        <is>
          <t>—</t>
        </is>
      </c>
      <c r="F55" s="12" t="inlineStr">
        <is>
          <t>Políticas</t>
        </is>
      </c>
      <c r="G55" s="12" t="inlineStr">
        <is>
          <t>Documento GRC</t>
        </is>
      </c>
      <c r="H55" s="12" t="inlineStr">
        <is>
          <t>11, 13</t>
        </is>
      </c>
      <c r="I55" s="13" t="inlineStr">
        <is>
          <t>Dom 11</t>
        </is>
      </c>
      <c r="J55" s="28" t="n">
        <v>46306</v>
      </c>
      <c r="K55" s="13" t="inlineStr">
        <is>
          <t>21:00</t>
        </is>
      </c>
      <c r="L55" s="13" t="inlineStr">
        <is>
          <t>Media</t>
        </is>
      </c>
      <c r="M55" s="48" t="n">
        <v>1.5</v>
      </c>
      <c r="N55" s="12" t="inlineStr">
        <is>
          <t>GRC-00, VULN-01</t>
        </is>
      </c>
      <c r="O55" s="12" t="inlineStr">
        <is>
          <t>—</t>
        </is>
      </c>
      <c r="P55" s="12" t="inlineStr">
        <is>
          <t>Escaneo periódico (ZAP, Trivy, Dependency-Check), plazos de corrección por severidad, revisión de código obligatoria, OWASP Top 10 como referencia y gestión de secretos.</t>
        </is>
      </c>
      <c r="Q55" s="12" t="inlineStr">
        <is>
          <t>Es coherente con PR-04.</t>
        </is>
      </c>
      <c r="R55" s="12" t="inlineStr">
        <is>
          <t>PO-07.docx</t>
        </is>
      </c>
      <c r="S55" s="29" t="inlineStr">
        <is>
          <t>Pendiente</t>
        </is>
      </c>
      <c r="T55" s="30" t="inlineStr"/>
    </row>
    <row r="56">
      <c r="A56" s="25" t="inlineStr">
        <is>
          <t>PR-01</t>
        </is>
      </c>
      <c r="B56" s="26" t="inlineStr">
        <is>
          <t>SINS-47</t>
        </is>
      </c>
      <c r="C56" s="21" t="inlineStr">
        <is>
          <t>Procedimiento de ABM de usuarios</t>
        </is>
      </c>
      <c r="D56" s="27" t="inlineStr">
        <is>
          <t>Nicole</t>
        </is>
      </c>
      <c r="E56" s="12" t="inlineStr">
        <is>
          <t>—</t>
        </is>
      </c>
      <c r="F56" s="12" t="inlineStr">
        <is>
          <t>Procedimientos</t>
        </is>
      </c>
      <c r="G56" s="12" t="inlineStr">
        <is>
          <t>Documento GRC</t>
        </is>
      </c>
      <c r="H56" s="12" t="inlineStr">
        <is>
          <t>9.1</t>
        </is>
      </c>
      <c r="I56" s="13" t="inlineStr">
        <is>
          <t>Lun 12</t>
        </is>
      </c>
      <c r="J56" s="28" t="n">
        <v>46307</v>
      </c>
      <c r="K56" s="13" t="inlineStr">
        <is>
          <t>15:00</t>
        </is>
      </c>
      <c r="L56" s="13" t="inlineStr">
        <is>
          <t>Alta</t>
        </is>
      </c>
      <c r="M56" s="48" t="n">
        <v>1.5</v>
      </c>
      <c r="N56" s="12" t="inlineStr">
        <is>
          <t>GRC-00, IAM-04</t>
        </is>
      </c>
      <c r="O56" s="12" t="inlineStr">
        <is>
          <t>—</t>
        </is>
      </c>
      <c r="P56" s="12" t="inlineStr">
        <is>
          <t>Paso a paso de alta, baja y modificación con capturas del sistema: solicitud y aprobación, generación del User ID, contraseña temporal y registro en la bitácora.</t>
        </is>
      </c>
      <c r="Q56" s="12" t="inlineStr">
        <is>
          <t>Las capturas son del sistema real.</t>
        </is>
      </c>
      <c r="R56" s="12" t="inlineStr">
        <is>
          <t>PR-01.docx</t>
        </is>
      </c>
      <c r="S56" s="29" t="inlineStr">
        <is>
          <t>Pendiente</t>
        </is>
      </c>
      <c r="T56" s="30" t="inlineStr"/>
    </row>
    <row r="57">
      <c r="A57" s="25" t="inlineStr">
        <is>
          <t>PR-02</t>
        </is>
      </c>
      <c r="B57" s="26" t="inlineStr">
        <is>
          <t>SINS-61</t>
        </is>
      </c>
      <c r="C57" s="21" t="inlineStr">
        <is>
          <t>Procedimiento de desbloqueo y reinicio de contraseña</t>
        </is>
      </c>
      <c r="D57" s="27" t="inlineStr">
        <is>
          <t>Nicole</t>
        </is>
      </c>
      <c r="E57" s="12" t="inlineStr">
        <is>
          <t>—</t>
        </is>
      </c>
      <c r="F57" s="12" t="inlineStr">
        <is>
          <t>Procedimientos</t>
        </is>
      </c>
      <c r="G57" s="12" t="inlineStr">
        <is>
          <t>Documento GRC</t>
        </is>
      </c>
      <c r="H57" s="12" t="inlineStr">
        <is>
          <t>9.3</t>
        </is>
      </c>
      <c r="I57" s="13" t="inlineStr">
        <is>
          <t>Lun 12</t>
        </is>
      </c>
      <c r="J57" s="28" t="n">
        <v>46307</v>
      </c>
      <c r="K57" s="13" t="inlineStr">
        <is>
          <t>16:00</t>
        </is>
      </c>
      <c r="L57" s="13" t="inlineStr">
        <is>
          <t>Alta</t>
        </is>
      </c>
      <c r="M57" s="48" t="n">
        <v>1.5</v>
      </c>
      <c r="N57" s="12" t="inlineStr">
        <is>
          <t>GRC-00, IAM-05</t>
        </is>
      </c>
      <c r="O57" s="12" t="inlineStr">
        <is>
          <t>—</t>
        </is>
      </c>
      <c r="P57" s="12" t="inlineStr">
        <is>
          <t>Verificación de identidad del solicitante, desbloqueo, reinicio con contraseña temporal, cambio obligatorio y registro en la bitácora, con capturas.</t>
        </is>
      </c>
      <c r="Q57" s="12" t="inlineStr">
        <is>
          <t>Las capturas son del sistema real.</t>
        </is>
      </c>
      <c r="R57" s="12" t="inlineStr">
        <is>
          <t>PR-02.docx</t>
        </is>
      </c>
      <c r="S57" s="29" t="inlineStr">
        <is>
          <t>Pendiente</t>
        </is>
      </c>
      <c r="T57" s="30" t="inlineStr"/>
    </row>
    <row r="58">
      <c r="A58" s="25" t="inlineStr">
        <is>
          <t>PR-03</t>
        </is>
      </c>
      <c r="B58" s="26" t="inlineStr">
        <is>
          <t>SINS-48</t>
        </is>
      </c>
      <c r="C58" s="21" t="inlineStr">
        <is>
          <t>Procedimiento de asignación/revocación de roles y revisión de accesos</t>
        </is>
      </c>
      <c r="D58" s="33" t="inlineStr">
        <is>
          <t>Franco</t>
        </is>
      </c>
      <c r="E58" s="12" t="inlineStr">
        <is>
          <t>—</t>
        </is>
      </c>
      <c r="F58" s="12" t="inlineStr">
        <is>
          <t>Procedimientos</t>
        </is>
      </c>
      <c r="G58" s="12" t="inlineStr">
        <is>
          <t>Documento GRC</t>
        </is>
      </c>
      <c r="H58" s="12" t="inlineStr">
        <is>
          <t>9.2</t>
        </is>
      </c>
      <c r="I58" s="13" t="inlineStr">
        <is>
          <t>Dom 11</t>
        </is>
      </c>
      <c r="J58" s="28" t="n">
        <v>46306</v>
      </c>
      <c r="K58" s="13" t="inlineStr">
        <is>
          <t>18:00</t>
        </is>
      </c>
      <c r="L58" s="13" t="inlineStr">
        <is>
          <t>Alta</t>
        </is>
      </c>
      <c r="M58" s="48" t="n">
        <v>1.5</v>
      </c>
      <c r="N58" s="12" t="inlineStr">
        <is>
          <t>GRC-00, RBAC-02</t>
        </is>
      </c>
      <c r="O58" s="12" t="inlineStr">
        <is>
          <t>—</t>
        </is>
      </c>
      <c r="P58" s="12" t="inlineStr">
        <is>
          <t>Solicitud, aprobación por el propietario, asignación desde la app, revocación al cambiar de puesto o en la baja, y revisión trimestral de accesos.</t>
        </is>
      </c>
      <c r="Q58" s="12" t="inlineStr">
        <is>
          <t>Es coherente con PO-02.</t>
        </is>
      </c>
      <c r="R58" s="12" t="inlineStr">
        <is>
          <t>PR-03.docx</t>
        </is>
      </c>
      <c r="S58" s="29" t="inlineStr">
        <is>
          <t>Pendiente</t>
        </is>
      </c>
      <c r="T58" s="30" t="inlineStr"/>
    </row>
    <row r="59">
      <c r="A59" s="25" t="inlineStr">
        <is>
          <t>PR-04</t>
        </is>
      </c>
      <c r="B59" s="26" t="inlineStr">
        <is>
          <t>SINS-37</t>
        </is>
      </c>
      <c r="C59" s="21" t="inlineStr">
        <is>
          <t>Procedimiento de gestión de vulnerabilidades</t>
        </is>
      </c>
      <c r="D59" s="34" t="inlineStr">
        <is>
          <t>Juanjo</t>
        </is>
      </c>
      <c r="E59" s="12" t="inlineStr">
        <is>
          <t>—</t>
        </is>
      </c>
      <c r="F59" s="12" t="inlineStr">
        <is>
          <t>Procedimientos</t>
        </is>
      </c>
      <c r="G59" s="12" t="inlineStr">
        <is>
          <t>Documento GRC</t>
        </is>
      </c>
      <c r="H59" s="12" t="inlineStr">
        <is>
          <t>13</t>
        </is>
      </c>
      <c r="I59" s="13" t="inlineStr">
        <is>
          <t>Dom 11</t>
        </is>
      </c>
      <c r="J59" s="28" t="n">
        <v>46306</v>
      </c>
      <c r="K59" s="13" t="inlineStr">
        <is>
          <t>22:00</t>
        </is>
      </c>
      <c r="L59" s="13" t="inlineStr">
        <is>
          <t>Media</t>
        </is>
      </c>
      <c r="M59" s="48" t="n">
        <v>1.5</v>
      </c>
      <c r="N59" s="12" t="inlineStr">
        <is>
          <t>GRC-00, VULN-01</t>
        </is>
      </c>
      <c r="O59" s="12" t="inlineStr">
        <is>
          <t>—</t>
        </is>
      </c>
      <c r="P59" s="12" t="inlineStr">
        <is>
          <t>Escaneo, triage por severidad (CVSS), asignación, corrección, re-escaneo de verificación y cierre, con los comandos exactos usados.</t>
        </is>
      </c>
      <c r="Q59" s="12" t="inlineStr">
        <is>
          <t>Es reproducible por otra persona.</t>
        </is>
      </c>
      <c r="R59" s="12" t="inlineStr">
        <is>
          <t>PR-04.docx</t>
        </is>
      </c>
      <c r="S59" s="29" t="inlineStr">
        <is>
          <t>Pendiente</t>
        </is>
      </c>
      <c r="T59" s="30" t="inlineStr"/>
    </row>
    <row r="60">
      <c r="A60" s="25" t="inlineStr">
        <is>
          <t>PR-05</t>
        </is>
      </c>
      <c r="B60" s="26" t="inlineStr">
        <is>
          <t>SINS-38</t>
        </is>
      </c>
      <c r="C60" s="21" t="inlineStr">
        <is>
          <t>Procedimiento de verificación de integridad de archivos (hash/checksum)</t>
        </is>
      </c>
      <c r="D60" s="35" t="inlineStr">
        <is>
          <t>Alvaro</t>
        </is>
      </c>
      <c r="E60" s="12" t="inlineStr">
        <is>
          <t>—</t>
        </is>
      </c>
      <c r="F60" s="12" t="inlineStr">
        <is>
          <t>Procedimientos</t>
        </is>
      </c>
      <c r="G60" s="12" t="inlineStr">
        <is>
          <t>Documento GRC</t>
        </is>
      </c>
      <c r="H60" s="12" t="inlineStr">
        <is>
          <t>anexo</t>
        </is>
      </c>
      <c r="I60" s="13" t="inlineStr">
        <is>
          <t>Dom 11</t>
        </is>
      </c>
      <c r="J60" s="28" t="n">
        <v>46306</v>
      </c>
      <c r="K60" s="13" t="inlineStr">
        <is>
          <t>21:00</t>
        </is>
      </c>
      <c r="L60" s="13" t="inlineStr">
        <is>
          <t>Media</t>
        </is>
      </c>
      <c r="M60" s="48" t="n">
        <v>1.5</v>
      </c>
      <c r="N60" s="12" t="inlineStr">
        <is>
          <t>GRC-00, CRY-02, CRY-03</t>
        </is>
      </c>
      <c r="O60" s="12" t="inlineStr">
        <is>
          <t>—</t>
        </is>
      </c>
      <c r="P60" s="12" t="inlineStr">
        <is>
          <t>Cómo generar y verificar SHA256SUMS (Linux y Windows: sha256sum / Get-FileHash), cómo verificar un documento en la app y qué hacer si no coincide.</t>
        </is>
      </c>
      <c r="Q60" s="12" t="inlineStr">
        <is>
          <t>Es reproducible por otra persona.</t>
        </is>
      </c>
      <c r="R60" s="12" t="inlineStr">
        <is>
          <t>PR-05.docx</t>
        </is>
      </c>
      <c r="S60" s="29" t="inlineStr">
        <is>
          <t>Pendiente</t>
        </is>
      </c>
      <c r="T60" s="30" t="inlineStr"/>
    </row>
    <row r="61">
      <c r="A61" s="25" t="inlineStr">
        <is>
          <t>PR-06</t>
        </is>
      </c>
      <c r="B61" s="26" t="inlineStr">
        <is>
          <t>SINS-63</t>
        </is>
      </c>
      <c r="C61" s="21" t="inlineStr">
        <is>
          <t>Procedimiento de revisión de logs y respuesta a eventos de seguridad</t>
        </is>
      </c>
      <c r="D61" s="35" t="inlineStr">
        <is>
          <t>Alvaro</t>
        </is>
      </c>
      <c r="E61" s="12" t="inlineStr">
        <is>
          <t>—</t>
        </is>
      </c>
      <c r="F61" s="12" t="inlineStr">
        <is>
          <t>Procedimientos</t>
        </is>
      </c>
      <c r="G61" s="12" t="inlineStr">
        <is>
          <t>Documento GRC</t>
        </is>
      </c>
      <c r="H61" s="12" t="inlineStr">
        <is>
          <t>12</t>
        </is>
      </c>
      <c r="I61" s="13" t="inlineStr">
        <is>
          <t>Lun 12</t>
        </is>
      </c>
      <c r="J61" s="28" t="n">
        <v>46307</v>
      </c>
      <c r="K61" s="13" t="inlineStr">
        <is>
          <t>18:00</t>
        </is>
      </c>
      <c r="L61" s="13" t="inlineStr">
        <is>
          <t>Media</t>
        </is>
      </c>
      <c r="M61" s="48" t="n">
        <v>1.5</v>
      </c>
      <c r="N61" s="12" t="inlineStr">
        <is>
          <t>GRC-00, LOG-02</t>
        </is>
      </c>
      <c r="O61" s="12" t="inlineStr">
        <is>
          <t>—</t>
        </is>
      </c>
      <c r="P61" s="12" t="inlineStr">
        <is>
          <t>Frecuencia de revisión, filtros a usar, umbrales (enlazar con los KRIs de RSK-01), escalamiento y registro del incidente.</t>
        </is>
      </c>
      <c r="Q61" s="12" t="inlineStr">
        <is>
          <t>Es coherente con PO-06 y RSK-01.</t>
        </is>
      </c>
      <c r="R61" s="12" t="inlineStr">
        <is>
          <t>PR-06.docx</t>
        </is>
      </c>
      <c r="S61" s="29" t="inlineStr">
        <is>
          <t>Pendiente</t>
        </is>
      </c>
      <c r="T61" s="30" t="inlineStr"/>
    </row>
    <row r="62">
      <c r="A62" s="25" t="inlineStr">
        <is>
          <t>PR-07</t>
        </is>
      </c>
      <c r="B62" s="26" t="inlineStr">
        <is>
          <t>SINS-49</t>
        </is>
      </c>
      <c r="C62" s="21" t="inlineStr">
        <is>
          <t>Procedimiento de clasificación y etiquetado de la información</t>
        </is>
      </c>
      <c r="D62" s="32" t="inlineStr">
        <is>
          <t>Favian</t>
        </is>
      </c>
      <c r="E62" s="12" t="inlineStr">
        <is>
          <t>—</t>
        </is>
      </c>
      <c r="F62" s="12" t="inlineStr">
        <is>
          <t>Procedimientos</t>
        </is>
      </c>
      <c r="G62" s="12" t="inlineStr">
        <is>
          <t>Documento GRC</t>
        </is>
      </c>
      <c r="H62" s="12" t="inlineStr">
        <is>
          <t>anexo</t>
        </is>
      </c>
      <c r="I62" s="13" t="inlineStr">
        <is>
          <t>Dom 11</t>
        </is>
      </c>
      <c r="J62" s="28" t="n">
        <v>46306</v>
      </c>
      <c r="K62" s="13" t="inlineStr">
        <is>
          <t>19:00</t>
        </is>
      </c>
      <c r="L62" s="13" t="inlineStr">
        <is>
          <t>Alta</t>
        </is>
      </c>
      <c r="M62" s="48" t="n">
        <v>1.5</v>
      </c>
      <c r="N62" s="12" t="inlineStr">
        <is>
          <t>GRC-00, GRC-02</t>
        </is>
      </c>
      <c r="O62" s="12" t="inlineStr">
        <is>
          <t>—</t>
        </is>
      </c>
      <c r="P62" s="12" t="inlineStr">
        <is>
          <t>Cómo llenar el formulario, cómo se calcula el nivel, cómo se actualiza la matriz y cómo se etiqueta.</t>
        </is>
      </c>
      <c r="Q62" s="12" t="inlineStr">
        <is>
          <t>Es coherente con GRC-02 y GRC-03.</t>
        </is>
      </c>
      <c r="R62" s="12" t="inlineStr">
        <is>
          <t>PR-07.docx</t>
        </is>
      </c>
      <c r="S62" s="29" t="inlineStr">
        <is>
          <t>Pendiente</t>
        </is>
      </c>
      <c r="T62" s="30" t="inlineStr"/>
    </row>
    <row r="63">
      <c r="A63" s="25" t="inlineStr">
        <is>
          <t>PR-08</t>
        </is>
      </c>
      <c r="B63" s="26" t="inlineStr">
        <is>
          <t>SINS-50</t>
        </is>
      </c>
      <c r="C63" s="21" t="inlineStr">
        <is>
          <t>Procedimiento de resguardo de contraseñas y rotación de secretos</t>
        </is>
      </c>
      <c r="D63" s="32" t="inlineStr">
        <is>
          <t>Favian</t>
        </is>
      </c>
      <c r="E63" s="12" t="inlineStr">
        <is>
          <t>—</t>
        </is>
      </c>
      <c r="F63" s="12" t="inlineStr">
        <is>
          <t>Procedimientos</t>
        </is>
      </c>
      <c r="G63" s="12" t="inlineStr">
        <is>
          <t>Documento GRC</t>
        </is>
      </c>
      <c r="H63" s="12" t="inlineStr">
        <is>
          <t>9.3</t>
        </is>
      </c>
      <c r="I63" s="13" t="inlineStr">
        <is>
          <t>Dom 11</t>
        </is>
      </c>
      <c r="J63" s="28" t="n">
        <v>46306</v>
      </c>
      <c r="K63" s="13" t="inlineStr">
        <is>
          <t>21:00</t>
        </is>
      </c>
      <c r="L63" s="13" t="inlineStr">
        <is>
          <t>Media</t>
        </is>
      </c>
      <c r="M63" s="48" t="n">
        <v>1.5</v>
      </c>
      <c r="N63" s="12" t="inlineStr">
        <is>
          <t>GRC-00, PWM-01</t>
        </is>
      </c>
      <c r="O63" s="12" t="inlineStr">
        <is>
          <t>—</t>
        </is>
      </c>
      <c r="P63" s="12" t="inlineStr">
        <is>
          <t>Alta de credenciales en KeePassXC, generación de contraseñas, compartición segura, rotación de secretos del sistema y respuesta ante una filtración.</t>
        </is>
      </c>
      <c r="Q63" s="12" t="inlineStr">
        <is>
          <t>Es coherente con PWM-01 y PO-03.</t>
        </is>
      </c>
      <c r="R63" s="12" t="inlineStr">
        <is>
          <t>PR-08.docx</t>
        </is>
      </c>
      <c r="S63" s="29" t="inlineStr">
        <is>
          <t>Pendiente</t>
        </is>
      </c>
      <c r="T63" s="30" t="inlineStr"/>
    </row>
    <row r="64">
      <c r="A64" s="25" t="inlineStr">
        <is>
          <t>INF-00</t>
        </is>
      </c>
      <c r="B64" s="26" t="inlineStr">
        <is>
          <t>SINS-21</t>
        </is>
      </c>
      <c r="C64" s="21" t="inlineStr">
        <is>
          <t>Plantilla del informe y documento compartido</t>
        </is>
      </c>
      <c r="D64" s="31" t="inlineStr">
        <is>
          <t>Alan</t>
        </is>
      </c>
      <c r="E64" s="12" t="inlineStr">
        <is>
          <t>—</t>
        </is>
      </c>
      <c r="F64" s="12" t="inlineStr">
        <is>
          <t>Informe</t>
        </is>
      </c>
      <c r="G64" s="12" t="inlineStr">
        <is>
          <t>Informe</t>
        </is>
      </c>
      <c r="H64" s="12" t="inlineStr">
        <is>
          <t>1–16</t>
        </is>
      </c>
      <c r="I64" s="13" t="inlineStr">
        <is>
          <t>Sáb 10</t>
        </is>
      </c>
      <c r="J64" s="28" t="n">
        <v>46305</v>
      </c>
      <c r="K64" s="13" t="inlineStr">
        <is>
          <t>11:00</t>
        </is>
      </c>
      <c r="L64" s="13" t="inlineStr">
        <is>
          <t>Urgente</t>
        </is>
      </c>
      <c r="M64" s="48" t="n">
        <v>1</v>
      </c>
      <c r="N64" s="12" t="inlineStr">
        <is>
          <t>C-01</t>
        </is>
      </c>
      <c r="O64" s="12" t="inlineStr">
        <is>
          <t>INF-01</t>
        </is>
      </c>
      <c r="P64" s="12" t="inlineStr">
        <is>
          <t>Google Docs o Word con las 16 secciones del PDF en orden: carátula UCB (SIS 321, docente, integrantes, grupo), estilos de títulos, índice automático, numeración de figuras y tablas, APA 7, y el responsable de cada sección indicado al margen.</t>
        </is>
      </c>
      <c r="Q64" s="12" t="inlineStr">
        <is>
          <t>El documento está compartido con todos con permiso de edición.</t>
        </is>
      </c>
      <c r="R64" s="12" t="inlineStr">
        <is>
          <t>Documento compartido</t>
        </is>
      </c>
      <c r="S64" s="29" t="inlineStr">
        <is>
          <t>Pendiente</t>
        </is>
      </c>
      <c r="T64" s="30" t="inlineStr"/>
    </row>
    <row r="65">
      <c r="A65" s="25" t="inlineStr">
        <is>
          <t>INF-01</t>
        </is>
      </c>
      <c r="B65" s="26" t="inlineStr">
        <is>
          <t>SINS-39</t>
        </is>
      </c>
      <c r="C65" s="21" t="inlineStr">
        <is>
          <t>Secciones 1–7 del informe</t>
        </is>
      </c>
      <c r="D65" s="31" t="inlineStr">
        <is>
          <t>Alan</t>
        </is>
      </c>
      <c r="E65" s="12" t="inlineStr">
        <is>
          <t>Nicole</t>
        </is>
      </c>
      <c r="F65" s="12" t="inlineStr">
        <is>
          <t>Informe</t>
        </is>
      </c>
      <c r="G65" s="12" t="inlineStr">
        <is>
          <t>Informe</t>
        </is>
      </c>
      <c r="H65" s="12" t="inlineStr">
        <is>
          <t>1–7</t>
        </is>
      </c>
      <c r="I65" s="13" t="inlineStr">
        <is>
          <t>Sáb 10</t>
        </is>
      </c>
      <c r="J65" s="28" t="n">
        <v>46305</v>
      </c>
      <c r="K65" s="13" t="inlineStr">
        <is>
          <t>21:00</t>
        </is>
      </c>
      <c r="L65" s="13" t="inlineStr">
        <is>
          <t>Alta</t>
        </is>
      </c>
      <c r="M65" s="48" t="n">
        <v>4</v>
      </c>
      <c r="N65" s="12" t="inlineStr">
        <is>
          <t>INF-00</t>
        </is>
      </c>
      <c r="O65" s="12" t="inlineStr">
        <is>
          <t>INF-09</t>
        </is>
      </c>
      <c r="P65" s="12" t="inlineStr">
        <is>
          <t>Carátula, introducción, nombre y descripción (MedicalSys: plataforma clínica multi-tenant), objetivo, tecnología (Java/Spring Boot, microservicios, MySQL en Aiven, Kafka, Redis, MinIO, Docker, Keycloak, frontend), problemas que resuelve y módulos (13 microservicios). Fuentes: README, diccionario de datos y guía de inducción.</t>
        </is>
      </c>
      <c r="Q65" s="12" t="inlineStr">
        <is>
          <t>Revisadas por Nicole.</t>
        </is>
      </c>
      <c r="R65" s="12" t="inlineStr">
        <is>
          <t>Secciones 1–7 en el documento</t>
        </is>
      </c>
      <c r="S65" s="29" t="inlineStr">
        <is>
          <t>Pendiente</t>
        </is>
      </c>
      <c r="T65" s="30" t="inlineStr"/>
    </row>
    <row r="66">
      <c r="A66" s="25" t="inlineStr">
        <is>
          <t>INF-02</t>
        </is>
      </c>
      <c r="B66" s="26" t="inlineStr">
        <is>
          <t>SINS-64</t>
        </is>
      </c>
      <c r="C66" s="21" t="inlineStr">
        <is>
          <t>Sección 8: Alcance de la reingeniería</t>
        </is>
      </c>
      <c r="D66" s="31" t="inlineStr">
        <is>
          <t>Alan</t>
        </is>
      </c>
      <c r="E66" s="12" t="inlineStr">
        <is>
          <t>Nicole</t>
        </is>
      </c>
      <c r="F66" s="12" t="inlineStr">
        <is>
          <t>Informe</t>
        </is>
      </c>
      <c r="G66" s="12" t="inlineStr">
        <is>
          <t>Informe</t>
        </is>
      </c>
      <c r="H66" s="12" t="inlineStr">
        <is>
          <t>8</t>
        </is>
      </c>
      <c r="I66" s="13" t="inlineStr">
        <is>
          <t>Lun 12</t>
        </is>
      </c>
      <c r="J66" s="28" t="n">
        <v>46307</v>
      </c>
      <c r="K66" s="13" t="inlineStr">
        <is>
          <t>19:00</t>
        </is>
      </c>
      <c r="L66" s="13" t="inlineStr">
        <is>
          <t>Alta</t>
        </is>
      </c>
      <c r="M66" s="48" t="n">
        <v>2</v>
      </c>
      <c r="N66" s="12" t="inlineStr">
        <is>
          <t>IAM-05, RBAC-04, HARD-01, HARD-03, CRY-02, LOG-02</t>
        </is>
      </c>
      <c r="O66" s="12" t="inlineStr">
        <is>
          <t>INF-09, ENT-01</t>
        </is>
      </c>
      <c r="P66" s="12" t="inlineStr">
        <is>
          <t>Tabla con aspecto, situación inicial, corrección, evidencia (PR o commit, captura) y principio/OWASP/ISO relacionado, para TODO lo hecho en el sprint. Base: el diagnóstico Saltzer-Schroeder y los PR.</t>
        </is>
      </c>
      <c r="Q66" s="12" t="inlineStr">
        <is>
          <t>Cada fila tiene evidencia verificable.</t>
        </is>
      </c>
      <c r="R66" s="12" t="inlineStr">
        <is>
          <t>Sección 8</t>
        </is>
      </c>
      <c r="S66" s="29" t="inlineStr">
        <is>
          <t>Pendiente</t>
        </is>
      </c>
      <c r="T66" s="30" t="inlineStr"/>
    </row>
    <row r="67">
      <c r="A67" s="25" t="inlineStr">
        <is>
          <t>INF-03</t>
        </is>
      </c>
      <c r="B67" s="26" t="inlineStr">
        <is>
          <t>SINS-65</t>
        </is>
      </c>
      <c r="C67" s="21" t="inlineStr">
        <is>
          <t>Secciones 9.1 y 9.3: gestión de usuarios y de contraseñas</t>
        </is>
      </c>
      <c r="D67" s="27" t="inlineStr">
        <is>
          <t>Nicole</t>
        </is>
      </c>
      <c r="E67" s="12" t="inlineStr">
        <is>
          <t>Favian</t>
        </is>
      </c>
      <c r="F67" s="12" t="inlineStr">
        <is>
          <t>Informe</t>
        </is>
      </c>
      <c r="G67" s="12" t="inlineStr">
        <is>
          <t>Informe</t>
        </is>
      </c>
      <c r="H67" s="12" t="inlineStr">
        <is>
          <t>9.1, 9.3</t>
        </is>
      </c>
      <c r="I67" s="13" t="inlineStr">
        <is>
          <t>Lun 12</t>
        </is>
      </c>
      <c r="J67" s="28" t="n">
        <v>46307</v>
      </c>
      <c r="K67" s="13" t="inlineStr">
        <is>
          <t>19:00</t>
        </is>
      </c>
      <c r="L67" s="13" t="inlineStr">
        <is>
          <t>Alta</t>
        </is>
      </c>
      <c r="M67" s="48" t="n">
        <v>2</v>
      </c>
      <c r="N67" s="12" t="inlineStr">
        <is>
          <t>IAM-06, PO-03</t>
        </is>
      </c>
      <c r="O67" s="12" t="inlineStr">
        <is>
          <t>INF-09</t>
        </is>
      </c>
      <c r="P67" s="12" t="inlineStr">
        <is>
          <t>ABM con capturas y formato del User ID. Cada regla de la política con su demostración: complejidad, longitud, vida útil, historial, bloqueo al 3er intento, desbloqueo y reinicio. Protocolo de encriptación (Argon2id + TLS) y gestor de contraseñas (KeePassXC).</t>
        </is>
      </c>
      <c r="Q67" s="12" t="inlineStr">
        <is>
          <t>Cada exigencia del punto 9.3 del PDF tiene captura.</t>
        </is>
      </c>
      <c r="R67" s="12" t="inlineStr">
        <is>
          <t>Secciones 9.1 y 9.3</t>
        </is>
      </c>
      <c r="S67" s="29" t="inlineStr">
        <is>
          <t>Pendiente</t>
        </is>
      </c>
      <c r="T67" s="30" t="inlineStr"/>
    </row>
    <row r="68">
      <c r="A68" s="25" t="inlineStr">
        <is>
          <t>INF-04</t>
        </is>
      </c>
      <c r="B68" s="26" t="inlineStr">
        <is>
          <t>SINS-53</t>
        </is>
      </c>
      <c r="C68" s="21" t="inlineStr">
        <is>
          <t>Sección 9.2: gestión de roles y matriz de accesos</t>
        </is>
      </c>
      <c r="D68" s="33" t="inlineStr">
        <is>
          <t>Franco</t>
        </is>
      </c>
      <c r="E68" s="12" t="inlineStr">
        <is>
          <t>—</t>
        </is>
      </c>
      <c r="F68" s="12" t="inlineStr">
        <is>
          <t>Informe</t>
        </is>
      </c>
      <c r="G68" s="12" t="inlineStr">
        <is>
          <t>Informe</t>
        </is>
      </c>
      <c r="H68" s="12" t="inlineStr">
        <is>
          <t>9.2</t>
        </is>
      </c>
      <c r="I68" s="13" t="inlineStr">
        <is>
          <t>Lun 12</t>
        </is>
      </c>
      <c r="J68" s="28" t="n">
        <v>46307</v>
      </c>
      <c r="K68" s="13" t="inlineStr">
        <is>
          <t>19:00</t>
        </is>
      </c>
      <c r="L68" s="13" t="inlineStr">
        <is>
          <t>Alta</t>
        </is>
      </c>
      <c r="M68" s="48" t="n">
        <v>1.5</v>
      </c>
      <c r="N68" s="12" t="inlineStr">
        <is>
          <t>RBAC-05, RBAC-06</t>
        </is>
      </c>
      <c r="O68" s="12" t="inlineStr">
        <is>
          <t>INF-09</t>
        </is>
      </c>
      <c r="P68" s="12" t="inlineStr">
        <is>
          <t>Alta, baja y asignación de roles desde la app, matriz de accesos (plantilla + demo) y explicación de la granularidad sin tocar código ni la BD.</t>
        </is>
      </c>
      <c r="Q68" s="12" t="inlineStr">
        <is>
          <t>Demuestra que la gestión de roles es una funcionalidad del sistema.</t>
        </is>
      </c>
      <c r="R68" s="12" t="inlineStr">
        <is>
          <t>Sección 9.2</t>
        </is>
      </c>
      <c r="S68" s="29" t="inlineStr">
        <is>
          <t>Pendiente</t>
        </is>
      </c>
      <c r="T68" s="30" t="inlineStr"/>
    </row>
    <row r="69">
      <c r="A69" s="25" t="inlineStr">
        <is>
          <t>INF-05</t>
        </is>
      </c>
      <c r="B69" s="26" t="inlineStr">
        <is>
          <t>SINS-54</t>
        </is>
      </c>
      <c r="C69" s="21" t="inlineStr">
        <is>
          <t>Sección 10: principios de diseño seguro</t>
        </is>
      </c>
      <c r="D69" s="33" t="inlineStr">
        <is>
          <t>Franco</t>
        </is>
      </c>
      <c r="E69" s="12" t="inlineStr">
        <is>
          <t>Juanjo</t>
        </is>
      </c>
      <c r="F69" s="12" t="inlineStr">
        <is>
          <t>Informe</t>
        </is>
      </c>
      <c r="G69" s="12" t="inlineStr">
        <is>
          <t>Informe</t>
        </is>
      </c>
      <c r="H69" s="12" t="inlineStr">
        <is>
          <t>10</t>
        </is>
      </c>
      <c r="I69" s="13" t="inlineStr">
        <is>
          <t>Lun 12</t>
        </is>
      </c>
      <c r="J69" s="28" t="n">
        <v>46307</v>
      </c>
      <c r="K69" s="13" t="inlineStr">
        <is>
          <t>19:00</t>
        </is>
      </c>
      <c r="L69" s="13" t="inlineStr">
        <is>
          <t>Alta</t>
        </is>
      </c>
      <c r="M69" s="48" t="n">
        <v>2</v>
      </c>
      <c r="N69" s="12" t="inlineStr">
        <is>
          <t>RBAC-04, HARD-01, HARD-03</t>
        </is>
      </c>
      <c r="O69" s="12" t="inlineStr">
        <is>
          <t>INF-09</t>
        </is>
      </c>
      <c r="P69" s="12" t="inlineStr">
        <is>
          <t>Para cada principio del PDF (segregación de roles, mínimo privilegio, menos asombro, mecanismo menos común, seguridad por defecto, mediación completa): definición, situación inicial (diagnóstico ya hecho), corrección aplicada y evidencia.</t>
        </is>
      </c>
      <c r="Q69" s="12" t="inlineStr">
        <is>
          <t>Están los 6 principios con antes/después.</t>
        </is>
      </c>
      <c r="R69" s="12" t="inlineStr">
        <is>
          <t>Sección 10</t>
        </is>
      </c>
      <c r="S69" s="29" t="inlineStr">
        <is>
          <t>Pendiente</t>
        </is>
      </c>
      <c r="T69" s="30" t="inlineStr"/>
    </row>
    <row r="70">
      <c r="A70" s="25" t="inlineStr">
        <is>
          <t>INF-06</t>
        </is>
      </c>
      <c r="B70" s="26" t="inlineStr">
        <is>
          <t>SINS-40</t>
        </is>
      </c>
      <c r="C70" s="21" t="inlineStr">
        <is>
          <t>Sección 11: OWASP Top 10</t>
        </is>
      </c>
      <c r="D70" s="34" t="inlineStr">
        <is>
          <t>Juanjo</t>
        </is>
      </c>
      <c r="E70" s="12" t="inlineStr">
        <is>
          <t>—</t>
        </is>
      </c>
      <c r="F70" s="12" t="inlineStr">
        <is>
          <t>Informe</t>
        </is>
      </c>
      <c r="G70" s="12" t="inlineStr">
        <is>
          <t>Informe</t>
        </is>
      </c>
      <c r="H70" s="12" t="inlineStr">
        <is>
          <t>11</t>
        </is>
      </c>
      <c r="I70" s="13" t="inlineStr">
        <is>
          <t>Lun 12</t>
        </is>
      </c>
      <c r="J70" s="28" t="n">
        <v>46307</v>
      </c>
      <c r="K70" s="13" t="inlineStr">
        <is>
          <t>19:00</t>
        </is>
      </c>
      <c r="L70" s="13" t="inlineStr">
        <is>
          <t>Alta</t>
        </is>
      </c>
      <c r="M70" s="48" t="n">
        <v>2</v>
      </c>
      <c r="N70" s="12" t="inlineStr">
        <is>
          <t>HARD-01, HARD-02, HARD-03</t>
        </is>
      </c>
      <c r="O70" s="12" t="inlineStr">
        <is>
          <t>INF-09</t>
        </is>
      </c>
      <c r="P70" s="12" t="inlineStr">
        <is>
          <t>El PDF pide al menos 2; apuntar a 4: A01 Broken Access Control (bypass del gateway, endpoints sin rol), A07 Identification and Authentication Failures (revocación, bloqueo), A05 Security Misconfiguration (CORS, puertos, usuarios demo) y A08 Software and Data Integrity Failures (firma del webhook, hash de documentos). Para cada una: descripción, explotación antes, corrección y prueba después.</t>
        </is>
      </c>
      <c r="Q70" s="12" t="inlineStr">
        <is>
          <t>Al menos 2 vulnerabilidades (idealmente 4) con prueba antes/después.</t>
        </is>
      </c>
      <c r="R70" s="12" t="inlineStr">
        <is>
          <t>Sección 11</t>
        </is>
      </c>
      <c r="S70" s="29" t="inlineStr">
        <is>
          <t>Pendiente</t>
        </is>
      </c>
      <c r="T70" s="30" t="inlineStr"/>
    </row>
    <row r="71">
      <c r="A71" s="25" t="inlineStr">
        <is>
          <t>INF-07</t>
        </is>
      </c>
      <c r="B71" s="26" t="inlineStr">
        <is>
          <t>SINS-67</t>
        </is>
      </c>
      <c r="C71" s="21" t="inlineStr">
        <is>
          <t>Sección 12: logs de aplicación y de usuario</t>
        </is>
      </c>
      <c r="D71" s="35" t="inlineStr">
        <is>
          <t>Alvaro</t>
        </is>
      </c>
      <c r="E71" s="12" t="inlineStr">
        <is>
          <t>—</t>
        </is>
      </c>
      <c r="F71" s="12" t="inlineStr">
        <is>
          <t>Informe</t>
        </is>
      </c>
      <c r="G71" s="12" t="inlineStr">
        <is>
          <t>Informe</t>
        </is>
      </c>
      <c r="H71" s="12" t="inlineStr">
        <is>
          <t>12</t>
        </is>
      </c>
      <c r="I71" s="13" t="inlineStr">
        <is>
          <t>Lun 12</t>
        </is>
      </c>
      <c r="J71" s="28" t="n">
        <v>46307</v>
      </c>
      <c r="K71" s="13" t="inlineStr">
        <is>
          <t>19:00</t>
        </is>
      </c>
      <c r="L71" s="13" t="inlineStr">
        <is>
          <t>Alta</t>
        </is>
      </c>
      <c r="M71" s="48" t="n">
        <v>1.5</v>
      </c>
      <c r="N71" s="12" t="inlineStr">
        <is>
          <t>LOG-02, LOG-03, LOG-04</t>
        </is>
      </c>
      <c r="O71" s="12" t="inlineStr">
        <is>
          <t>INF-09</t>
        </is>
      </c>
      <c r="P71" s="12" t="inlineStr">
        <is>
          <t>Diferencia entre logs de aplicación y logs de usuario (seguridad), eventos registrados, integridad de la bitácora (cadena de hash), pantalla de consulta y datos que no se registran.</t>
        </is>
      </c>
      <c r="Q71" s="12" t="inlineStr">
        <is>
          <t>Incluye capturas reales de la bitácora.</t>
        </is>
      </c>
      <c r="R71" s="12" t="inlineStr">
        <is>
          <t>Sección 12</t>
        </is>
      </c>
      <c r="S71" s="29" t="inlineStr">
        <is>
          <t>Pendiente</t>
        </is>
      </c>
      <c r="T71" s="30" t="inlineStr"/>
    </row>
    <row r="72">
      <c r="A72" s="25" t="inlineStr">
        <is>
          <t>INF-08</t>
        </is>
      </c>
      <c r="B72" s="26" t="inlineStr">
        <is>
          <t>SINS-58</t>
        </is>
      </c>
      <c r="C72" s="21" t="inlineStr">
        <is>
          <t>Sección 13: reporte del escaneo de vulnerabilidades</t>
        </is>
      </c>
      <c r="D72" s="34" t="inlineStr">
        <is>
          <t>Juanjo</t>
        </is>
      </c>
      <c r="E72" s="12" t="inlineStr">
        <is>
          <t>—</t>
        </is>
      </c>
      <c r="F72" s="12" t="inlineStr">
        <is>
          <t>Informe</t>
        </is>
      </c>
      <c r="G72" s="12" t="inlineStr">
        <is>
          <t>Informe</t>
        </is>
      </c>
      <c r="H72" s="12" t="inlineStr">
        <is>
          <t>13</t>
        </is>
      </c>
      <c r="I72" s="13" t="inlineStr">
        <is>
          <t>Lun 12</t>
        </is>
      </c>
      <c r="J72" s="28" t="n">
        <v>46307</v>
      </c>
      <c r="K72" s="13" t="inlineStr">
        <is>
          <t>19:00</t>
        </is>
      </c>
      <c r="L72" s="13" t="inlineStr">
        <is>
          <t>Alta</t>
        </is>
      </c>
      <c r="M72" s="48" t="n">
        <v>2</v>
      </c>
      <c r="N72" s="12" t="inlineStr">
        <is>
          <t>VULN-02</t>
        </is>
      </c>
      <c r="O72" s="12" t="inlineStr">
        <is>
          <t>INF-09</t>
        </is>
      </c>
      <c r="P72" s="12" t="inlineStr">
        <is>
          <t>Herramientas y configuración, resultados antes, correcciones y resultados después, con tabla comparativa y gráfico por severidad.</t>
        </is>
      </c>
      <c r="Q72" s="12" t="inlineStr">
        <is>
          <t>Los números coinciden con los reportes guardados.</t>
        </is>
      </c>
      <c r="R72" s="12" t="inlineStr">
        <is>
          <t>Sección 13</t>
        </is>
      </c>
      <c r="S72" s="29" t="inlineStr">
        <is>
          <t>Pendiente</t>
        </is>
      </c>
      <c r="T72" s="30" t="inlineStr"/>
    </row>
    <row r="73">
      <c r="A73" s="25" t="inlineStr">
        <is>
          <t>INF-09</t>
        </is>
      </c>
      <c r="B73" s="26" t="inlineStr">
        <is>
          <t>SINS-70</t>
        </is>
      </c>
      <c r="C73" s="21" t="inlineStr">
        <is>
          <t>Consolidación, anexos, bibliografía APA y PDF de la entrega 1</t>
        </is>
      </c>
      <c r="D73" s="31" t="inlineStr">
        <is>
          <t>Alan</t>
        </is>
      </c>
      <c r="E73" s="12" t="inlineStr">
        <is>
          <t>Todos</t>
        </is>
      </c>
      <c r="F73" s="12" t="inlineStr">
        <is>
          <t>Informe</t>
        </is>
      </c>
      <c r="G73" s="12" t="inlineStr">
        <is>
          <t>Entregable</t>
        </is>
      </c>
      <c r="H73" s="12" t="inlineStr">
        <is>
          <t>16, anexos</t>
        </is>
      </c>
      <c r="I73" s="13" t="inlineStr">
        <is>
          <t>Lun 12</t>
        </is>
      </c>
      <c r="J73" s="28" t="n">
        <v>46307</v>
      </c>
      <c r="K73" s="13" t="inlineStr">
        <is>
          <t>23:00</t>
        </is>
      </c>
      <c r="L73" s="13" t="inlineStr">
        <is>
          <t>Urgente</t>
        </is>
      </c>
      <c r="M73" s="48" t="n">
        <v>4</v>
      </c>
      <c r="N73" s="12" t="inlineStr">
        <is>
          <t>INF-01, INF-02, INF-03, INF-04, INF-05, INF-06, INF-07, INF-08, RSK-01, MOD15-01, ISO-01, ISO-03, GRC-03, CRY-04, RBAC-06</t>
        </is>
      </c>
      <c r="O73" s="12" t="inlineStr">
        <is>
          <t>ENT-02, ENT-03</t>
        </is>
      </c>
      <c r="P73" s="12" t="inlineStr">
        <is>
          <t>Unificar el estilo, el índice y la numeración de figuras. Anexos: políticas, procedimientos, matriz de clasificación + formulario, matriz de roles y accesos, tablas ISO 2013 y 2022, fichas de brechas, reportes de escaneo y SHA256SUMS. Bibliografía APA 7: ISO/IEC 27002:2013 y :2022, OWASP Top 10, Saltzer &amp; Schroeder (1975), NIST SP 800-63B y documentación de Keycloak. Revisión ortográfica cruzada y exportar ProyNombreGrupo-1.pdf.</t>
        </is>
      </c>
      <c r="Q73" s="12" t="inlineStr">
        <is>
          <t>El PDF está generado con las 16 secciones y sus anexos, y su SHA-256 está publicado.</t>
        </is>
      </c>
      <c r="R73" s="12" t="inlineStr">
        <is>
          <t>ProyNombreGrupo-1.pdf</t>
        </is>
      </c>
      <c r="S73" s="29" t="inlineStr">
        <is>
          <t>Pendiente</t>
        </is>
      </c>
      <c r="T73" s="30" t="inlineStr"/>
    </row>
    <row r="74">
      <c r="A74" s="25" t="inlineStr">
        <is>
          <t>ENT-01</t>
        </is>
      </c>
      <c r="B74" s="26" t="inlineStr">
        <is>
          <t>SINS-68</t>
        </is>
      </c>
      <c r="C74" s="21" t="inlineStr">
        <is>
          <t>Presentación (diapositivas en PDF)</t>
        </is>
      </c>
      <c r="D74" s="32" t="inlineStr">
        <is>
          <t>Favian</t>
        </is>
      </c>
      <c r="E74" s="12" t="inlineStr">
        <is>
          <t>Todos</t>
        </is>
      </c>
      <c r="F74" s="12" t="inlineStr">
        <is>
          <t>Entregables</t>
        </is>
      </c>
      <c r="G74" s="12" t="inlineStr">
        <is>
          <t>Entregable</t>
        </is>
      </c>
      <c r="H74" s="12" t="inlineStr">
        <is>
          <t>Entregables</t>
        </is>
      </c>
      <c r="I74" s="13" t="inlineStr">
        <is>
          <t>Lun 12</t>
        </is>
      </c>
      <c r="J74" s="28" t="n">
        <v>46307</v>
      </c>
      <c r="K74" s="13" t="inlineStr">
        <is>
          <t>23:00</t>
        </is>
      </c>
      <c r="L74" s="13" t="inlineStr">
        <is>
          <t>Alta</t>
        </is>
      </c>
      <c r="M74" s="48" t="n">
        <v>4</v>
      </c>
      <c r="N74" s="12" t="inlineStr">
        <is>
          <t>INF-02</t>
        </is>
      </c>
      <c r="O74" s="12" t="inlineStr">
        <is>
          <t>C-04, ENT-03</t>
        </is>
      </c>
      <c r="P74" s="12" t="inlineStr">
        <is>
          <t>Plantilla común. Cada integrante entrega sus 2–3 diapositivas antes de las 20:00 y Favian las integra. Estructura: problema → diagnóstico → reingeniería (usuarios, roles, contraseñas, principios, OWASP, logs, escaneo, cripto) → GRC (clasificación, ISO, riesgos) → módulo 15 → demo → conclusiones. Exportar PresNombreGrupo-1.pdf (PDF, no enlace).</t>
        </is>
      </c>
      <c r="Q74" s="12" t="inlineStr">
        <is>
          <t>El PDF está exportado y cada integrante conoce todas las diapositivas.</t>
        </is>
      </c>
      <c r="R74" s="12" t="inlineStr">
        <is>
          <t>PresNombreGrupo-1.pdf</t>
        </is>
      </c>
      <c r="S74" s="29" t="inlineStr">
        <is>
          <t>Pendiente</t>
        </is>
      </c>
      <c r="T74" s="30" t="inlineStr"/>
    </row>
    <row r="75">
      <c r="A75" s="25" t="inlineStr">
        <is>
          <t>ENT-02</t>
        </is>
      </c>
      <c r="B75" s="26" t="inlineStr">
        <is>
          <t>SINS-71</t>
        </is>
      </c>
      <c r="C75" s="21" t="inlineStr">
        <is>
          <t>Póster digital del proyecto</t>
        </is>
      </c>
      <c r="D75" s="32" t="inlineStr">
        <is>
          <t>Favian</t>
        </is>
      </c>
      <c r="E75" s="12" t="inlineStr">
        <is>
          <t>Alan</t>
        </is>
      </c>
      <c r="F75" s="12" t="inlineStr">
        <is>
          <t>Entregables</t>
        </is>
      </c>
      <c r="G75" s="12" t="inlineStr">
        <is>
          <t>Entregable</t>
        </is>
      </c>
      <c r="H75" s="12" t="inlineStr">
        <is>
          <t>Entregables</t>
        </is>
      </c>
      <c r="I75" s="13" t="inlineStr">
        <is>
          <t>Jue 15</t>
        </is>
      </c>
      <c r="J75" s="28" t="n">
        <v>46310</v>
      </c>
      <c r="K75" s="13" t="inlineStr">
        <is>
          <t>12:00</t>
        </is>
      </c>
      <c r="L75" s="13" t="inlineStr">
        <is>
          <t>Media</t>
        </is>
      </c>
      <c r="M75" s="48" t="n">
        <v>3</v>
      </c>
      <c r="N75" s="12" t="inlineStr">
        <is>
          <t>C-02, INF-09</t>
        </is>
      </c>
      <c r="O75" s="12" t="inlineStr">
        <is>
          <t>—</t>
        </is>
      </c>
      <c r="P75" s="12" t="inlineStr">
        <is>
          <t>Con el formato que pasará la docente (C-02): problema, arquitectura, correcciones clave antes/después, métricas del escaneo, KRIs y equipo.</t>
        </is>
      </c>
      <c r="Q75" s="12" t="inlineStr">
        <is>
          <t>Cumple el formato oficial.</t>
        </is>
      </c>
      <c r="R75" s="12" t="inlineStr">
        <is>
          <t>Póster en PDF/PNG</t>
        </is>
      </c>
      <c r="S75" s="29" t="inlineStr">
        <is>
          <t>Pendiente</t>
        </is>
      </c>
      <c r="T75" s="30" t="inlineStr"/>
    </row>
    <row r="76">
      <c r="A76" s="25" t="inlineStr">
        <is>
          <t>ENT-03</t>
        </is>
      </c>
      <c r="B76" s="26" t="inlineStr">
        <is>
          <t>SINS-72</t>
        </is>
      </c>
      <c r="C76" s="21" t="inlineStr">
        <is>
          <t>Subida al LMS de la entrega 1</t>
        </is>
      </c>
      <c r="D76" s="31" t="inlineStr">
        <is>
          <t>Alan</t>
        </is>
      </c>
      <c r="E76" s="12" t="inlineStr">
        <is>
          <t>Nicole</t>
        </is>
      </c>
      <c r="F76" s="12" t="inlineStr">
        <is>
          <t>Entregables</t>
        </is>
      </c>
      <c r="G76" s="12" t="inlineStr">
        <is>
          <t>Entregable</t>
        </is>
      </c>
      <c r="H76" s="12" t="inlineStr">
        <is>
          <t>Entregables</t>
        </is>
      </c>
      <c r="I76" s="13" t="inlineStr">
        <is>
          <t>Lun 12</t>
        </is>
      </c>
      <c r="J76" s="28" t="n">
        <v>46307</v>
      </c>
      <c r="K76" s="13" t="inlineStr">
        <is>
          <t>23:59</t>
        </is>
      </c>
      <c r="L76" s="13" t="inlineStr">
        <is>
          <t>Urgente</t>
        </is>
      </c>
      <c r="M76" s="48" t="n">
        <v>0.5</v>
      </c>
      <c r="N76" s="12" t="inlineStr">
        <is>
          <t>INF-09, ENT-01</t>
        </is>
      </c>
      <c r="O76" s="12" t="inlineStr">
        <is>
          <t>ENT-04</t>
        </is>
      </c>
      <c r="P76" s="12" t="inlineStr">
        <is>
          <t>Verificar los nombres ProyNombreGrupo-1.pdf y PresNombreGrupo-1.pdf y el enlace al sistema ejecutable, y guardar la captura del comprobante. Si C-02 confirma la regla de los 2 días, esta tarea pasa al domingo 11 con una versión preliminar.</t>
        </is>
      </c>
      <c r="Q76" s="12" t="inlineStr">
        <is>
          <t>El comprobante de subida está guardado.</t>
        </is>
      </c>
      <c r="R76" s="12" t="inlineStr">
        <is>
          <t>Captura del LMS</t>
        </is>
      </c>
      <c r="S76" s="29" t="inlineStr">
        <is>
          <t>Pendiente</t>
        </is>
      </c>
      <c r="T76" s="30" t="inlineStr"/>
    </row>
    <row r="77">
      <c r="A77" s="25" t="inlineStr">
        <is>
          <t>ENT-04</t>
        </is>
      </c>
      <c r="B77" s="26" t="inlineStr">
        <is>
          <t>SINS-73</t>
        </is>
      </c>
      <c r="C77" s="21" t="inlineStr">
        <is>
          <t>Entrega 2 (jueves): observaciones y pendientes</t>
        </is>
      </c>
      <c r="D77" s="31" t="inlineStr">
        <is>
          <t>Alan</t>
        </is>
      </c>
      <c r="E77" s="12" t="inlineStr">
        <is>
          <t>Todos</t>
        </is>
      </c>
      <c r="F77" s="12" t="inlineStr">
        <is>
          <t>Entregables</t>
        </is>
      </c>
      <c r="G77" s="12" t="inlineStr">
        <is>
          <t>Entregable</t>
        </is>
      </c>
      <c r="H77" s="12" t="inlineStr">
        <is>
          <t>Entregables</t>
        </is>
      </c>
      <c r="I77" s="13" t="inlineStr">
        <is>
          <t>Jue 15</t>
        </is>
      </c>
      <c r="J77" s="28" t="n">
        <v>46310</v>
      </c>
      <c r="K77" s="13" t="inlineStr">
        <is>
          <t>18:00</t>
        </is>
      </c>
      <c r="L77" s="13" t="inlineStr">
        <is>
          <t>Media</t>
        </is>
      </c>
      <c r="M77" s="48" t="n">
        <v>3</v>
      </c>
      <c r="N77" s="12" t="inlineStr">
        <is>
          <t>ENT-03</t>
        </is>
      </c>
      <c r="O77" s="12" t="inlineStr">
        <is>
          <t>—</t>
        </is>
      </c>
      <c r="P77" s="12" t="inlineStr">
        <is>
          <t>Incorporar las observaciones de la presentación del martes y las tareas opcionales que se completen (IAM-08, HARD-05, ENT-02). Regenerar ProyNombreGrupo-2.pdf y PresNombreGrupo-2.pdf y subirlos.</t>
        </is>
      </c>
      <c r="Q77" s="12" t="inlineStr">
        <is>
          <t>Los archivos -2 están subidos.</t>
        </is>
      </c>
      <c r="R77" s="12" t="inlineStr">
        <is>
          <t>Archivos -2.pdf</t>
        </is>
      </c>
      <c r="S77" s="29" t="inlineStr">
        <is>
          <t>Pendiente</t>
        </is>
      </c>
      <c r="T77" s="30" t="inlineStr"/>
    </row>
  </sheetData>
  <autoFilter ref="A4:T77"/>
  <conditionalFormatting sqref="S5:S77">
    <cfRule type="cellIs" priority="1" operator="equal" dxfId="0">
      <formula>"Hecha"</formula>
    </cfRule>
    <cfRule type="cellIs" priority="2" operator="equal" dxfId="1">
      <formula>"En curso"</formula>
    </cfRule>
    <cfRule type="cellIs" priority="3" operator="equal" dxfId="2">
      <formula>"Bloqueada"</formula>
    </cfRule>
    <cfRule type="cellIs" priority="4" operator="equal" dxfId="3">
      <formula>"En revisión"</formula>
    </cfRule>
    <cfRule type="cellIs" priority="5" operator="equal" dxfId="4">
      <formula>"Cancelada"</formula>
    </cfRule>
  </conditionalFormatting>
  <conditionalFormatting sqref="L5:L77">
    <cfRule type="cellIs" priority="6" operator="equal" dxfId="5">
      <formula>"Urgente"</formula>
    </cfRule>
    <cfRule type="cellIs" priority="7" operator="equal" dxfId="6">
      <formula>"Alta"</formula>
    </cfRule>
    <cfRule type="cellIs" priority="8" operator="equal" dxfId="7">
      <formula>"Media"</formula>
    </cfRule>
    <cfRule type="cellIs" priority="9" operator="equal" dxfId="8">
      <formula>"Baja"</formula>
    </cfRule>
  </conditionalFormatting>
  <conditionalFormatting sqref="C5:C77">
    <cfRule type="expression" priority="10" dxfId="9">
      <formula>$S5="Hecha"</formula>
    </cfRule>
  </conditionalFormatting>
  <dataValidations count="1">
    <dataValidation sqref="S5:S77" showDropDown="0" showInputMessage="0" showErrorMessage="0" allowBlank="0" type="list">
      <formula1>"Pendiente,En curso,Bloqueada,En revisión,Hecha,Cancelada"</formula1>
    </dataValidation>
  </dataValidation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 xmlns:r="http://schemas.openxmlformats.org/officeDocument/2006/relationships" ref="B53" r:id="rId49"/>
    <hyperlink xmlns:r="http://schemas.openxmlformats.org/officeDocument/2006/relationships" ref="B54" r:id="rId50"/>
    <hyperlink xmlns:r="http://schemas.openxmlformats.org/officeDocument/2006/relationships" ref="B55" r:id="rId51"/>
    <hyperlink xmlns:r="http://schemas.openxmlformats.org/officeDocument/2006/relationships" ref="B56" r:id="rId52"/>
    <hyperlink xmlns:r="http://schemas.openxmlformats.org/officeDocument/2006/relationships" ref="B57" r:id="rId53"/>
    <hyperlink xmlns:r="http://schemas.openxmlformats.org/officeDocument/2006/relationships" ref="B58" r:id="rId54"/>
    <hyperlink xmlns:r="http://schemas.openxmlformats.org/officeDocument/2006/relationships" ref="B59" r:id="rId55"/>
    <hyperlink xmlns:r="http://schemas.openxmlformats.org/officeDocument/2006/relationships" ref="B60" r:id="rId56"/>
    <hyperlink xmlns:r="http://schemas.openxmlformats.org/officeDocument/2006/relationships" ref="B61" r:id="rId57"/>
    <hyperlink xmlns:r="http://schemas.openxmlformats.org/officeDocument/2006/relationships" ref="B62" r:id="rId58"/>
    <hyperlink xmlns:r="http://schemas.openxmlformats.org/officeDocument/2006/relationships" ref="B63" r:id="rId59"/>
    <hyperlink xmlns:r="http://schemas.openxmlformats.org/officeDocument/2006/relationships" ref="B64" r:id="rId60"/>
    <hyperlink xmlns:r="http://schemas.openxmlformats.org/officeDocument/2006/relationships" ref="B65" r:id="rId61"/>
    <hyperlink xmlns:r="http://schemas.openxmlformats.org/officeDocument/2006/relationships" ref="B66" r:id="rId62"/>
    <hyperlink xmlns:r="http://schemas.openxmlformats.org/officeDocument/2006/relationships" ref="B67" r:id="rId63"/>
    <hyperlink xmlns:r="http://schemas.openxmlformats.org/officeDocument/2006/relationships" ref="B68" r:id="rId64"/>
    <hyperlink xmlns:r="http://schemas.openxmlformats.org/officeDocument/2006/relationships" ref="B69" r:id="rId65"/>
    <hyperlink xmlns:r="http://schemas.openxmlformats.org/officeDocument/2006/relationships" ref="B70" r:id="rId66"/>
    <hyperlink xmlns:r="http://schemas.openxmlformats.org/officeDocument/2006/relationships" ref="B71" r:id="rId67"/>
    <hyperlink xmlns:r="http://schemas.openxmlformats.org/officeDocument/2006/relationships" ref="B72" r:id="rId68"/>
    <hyperlink xmlns:r="http://schemas.openxmlformats.org/officeDocument/2006/relationships" ref="B73" r:id="rId69"/>
    <hyperlink xmlns:r="http://schemas.openxmlformats.org/officeDocument/2006/relationships" ref="B74" r:id="rId70"/>
    <hyperlink xmlns:r="http://schemas.openxmlformats.org/officeDocument/2006/relationships" ref="B75" r:id="rId71"/>
    <hyperlink xmlns:r="http://schemas.openxmlformats.org/officeDocument/2006/relationships" ref="B76" r:id="rId72"/>
    <hyperlink xmlns:r="http://schemas.openxmlformats.org/officeDocument/2006/relationships" ref="B77" r:id="rId73"/>
  </hyperlinks>
  <pageMargins left="0.75" right="0.75" top="1" bottom="1" header="0.5" footer="0.5"/>
</worksheet>
</file>

<file path=xl/worksheets/sheet3.xml><?xml version="1.0" encoding="utf-8"?>
<worksheet xmlns="http://schemas.openxmlformats.org/spreadsheetml/2006/main">
  <sheetPr>
    <tabColor rgb="0095A2B3"/>
    <outlinePr summaryBelow="1" summaryRight="1"/>
    <pageSetUpPr/>
  </sheetPr>
  <dimension ref="A1:K14"/>
  <sheetViews>
    <sheetView showGridLines="0" workbookViewId="0">
      <selection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c r="A1" s="1" t="inlineStr">
        <is>
          <t>Carga de trabajo por persona y día</t>
        </is>
      </c>
    </row>
    <row r="2">
      <c r="A2" s="2" t="inlineStr">
        <is>
          <t>Horas estimadas según el día de VENCIMIENTO (las tareas largas empiezan antes). Las tareas «Baja» (plan B / opcionales del jueves) van aparte.</t>
        </is>
      </c>
    </row>
    <row r="4">
      <c r="A4" s="10" t="inlineStr">
        <is>
          <t>Persona</t>
        </is>
      </c>
      <c r="B4" s="10" t="inlineStr">
        <is>
          <t>Sáb 10</t>
        </is>
      </c>
      <c r="C4" s="10" t="inlineStr">
        <is>
          <t>Dom 11</t>
        </is>
      </c>
      <c r="D4" s="10" t="inlineStr">
        <is>
          <t>Lun 12</t>
        </is>
      </c>
      <c r="E4" s="10" t="inlineStr">
        <is>
          <t>Mar 13</t>
        </is>
      </c>
      <c r="F4" s="10" t="inlineStr">
        <is>
          <t>Jue 15</t>
        </is>
      </c>
      <c r="G4" s="10" t="inlineStr">
        <is>
          <t>Total (sin Baja)</t>
        </is>
      </c>
      <c r="H4" s="10" t="inlineStr">
        <is>
          <t>Opcional / plan B</t>
        </is>
      </c>
      <c r="I4" s="10" t="inlineStr">
        <is>
          <t>Nº tareas</t>
        </is>
      </c>
      <c r="J4" s="10" t="inlineStr">
        <is>
          <t>Hechas</t>
        </is>
      </c>
      <c r="K4" s="10" t="inlineStr">
        <is>
          <t>% avance</t>
        </is>
      </c>
    </row>
    <row r="5">
      <c r="A5" s="11" t="inlineStr">
        <is>
          <t>Nicole</t>
        </is>
      </c>
      <c r="B5" s="48">
        <f>SUMIFS(Tareas!$M$5:$M$77,Tareas!$D$5:$D$77,$A5,Tareas!$I$5:$I$77,B$4,Tareas!$L$5:$L$77,"&lt;&gt;Baja")</f>
        <v/>
      </c>
      <c r="C5" s="48">
        <f>SUMIFS(Tareas!$M$5:$M$77,Tareas!$D$5:$D$77,$A5,Tareas!$I$5:$I$77,C$4,Tareas!$L$5:$L$77,"&lt;&gt;Baja")</f>
        <v/>
      </c>
      <c r="D5" s="48">
        <f>SUMIFS(Tareas!$M$5:$M$77,Tareas!$D$5:$D$77,$A5,Tareas!$I$5:$I$77,D$4,Tareas!$L$5:$L$77,"&lt;&gt;Baja")</f>
        <v/>
      </c>
      <c r="E5" s="48">
        <f>SUMIFS(Tareas!$M$5:$M$77,Tareas!$D$5:$D$77,$A5,Tareas!$I$5:$I$77,E$4,Tareas!$L$5:$L$77,"&lt;&gt;Baja")</f>
        <v/>
      </c>
      <c r="F5" s="48">
        <f>SUMIFS(Tareas!$M$5:$M$77,Tareas!$D$5:$D$77,$A5,Tareas!$I$5:$I$77,F$4,Tareas!$L$5:$L$77,"&lt;&gt;Baja")</f>
        <v/>
      </c>
      <c r="G5" s="48">
        <f>SUM(B5:F5)</f>
        <v/>
      </c>
      <c r="H5" s="48">
        <f>SUMIFS(Tareas!$M$5:$M$77,Tareas!$D$5:$D$77,$A5,Tareas!$L$5:$L$77,"Baja")</f>
        <v/>
      </c>
      <c r="I5" s="48">
        <f>COUNTIF(Tareas!$D$5:$D$77,$A5)</f>
        <v/>
      </c>
      <c r="J5" s="48">
        <f>COUNTIFS(Tareas!$D$5:$D$77,$A5,Tareas!$S$5:$S$77,"Hecha")</f>
        <v/>
      </c>
      <c r="K5" s="15">
        <f>IFERROR(J5/I5,0)</f>
        <v/>
      </c>
    </row>
    <row r="6">
      <c r="A6" s="16" t="inlineStr">
        <is>
          <t>Franco</t>
        </is>
      </c>
      <c r="B6" s="48">
        <f>SUMIFS(Tareas!$M$5:$M$77,Tareas!$D$5:$D$77,$A6,Tareas!$I$5:$I$77,B$4,Tareas!$L$5:$L$77,"&lt;&gt;Baja")</f>
        <v/>
      </c>
      <c r="C6" s="48">
        <f>SUMIFS(Tareas!$M$5:$M$77,Tareas!$D$5:$D$77,$A6,Tareas!$I$5:$I$77,C$4,Tareas!$L$5:$L$77,"&lt;&gt;Baja")</f>
        <v/>
      </c>
      <c r="D6" s="48">
        <f>SUMIFS(Tareas!$M$5:$M$77,Tareas!$D$5:$D$77,$A6,Tareas!$I$5:$I$77,D$4,Tareas!$L$5:$L$77,"&lt;&gt;Baja")</f>
        <v/>
      </c>
      <c r="E6" s="48">
        <f>SUMIFS(Tareas!$M$5:$M$77,Tareas!$D$5:$D$77,$A6,Tareas!$I$5:$I$77,E$4,Tareas!$L$5:$L$77,"&lt;&gt;Baja")</f>
        <v/>
      </c>
      <c r="F6" s="48">
        <f>SUMIFS(Tareas!$M$5:$M$77,Tareas!$D$5:$D$77,$A6,Tareas!$I$5:$I$77,F$4,Tareas!$L$5:$L$77,"&lt;&gt;Baja")</f>
        <v/>
      </c>
      <c r="G6" s="48">
        <f>SUM(B6:F6)</f>
        <v/>
      </c>
      <c r="H6" s="48">
        <f>SUMIFS(Tareas!$M$5:$M$77,Tareas!$D$5:$D$77,$A6,Tareas!$L$5:$L$77,"Baja")</f>
        <v/>
      </c>
      <c r="I6" s="48">
        <f>COUNTIF(Tareas!$D$5:$D$77,$A6)</f>
        <v/>
      </c>
      <c r="J6" s="48">
        <f>COUNTIFS(Tareas!$D$5:$D$77,$A6,Tareas!$S$5:$S$77,"Hecha")</f>
        <v/>
      </c>
      <c r="K6" s="15">
        <f>IFERROR(J6/I6,0)</f>
        <v/>
      </c>
    </row>
    <row r="7">
      <c r="A7" s="17" t="inlineStr">
        <is>
          <t>Juanjo</t>
        </is>
      </c>
      <c r="B7" s="48">
        <f>SUMIFS(Tareas!$M$5:$M$77,Tareas!$D$5:$D$77,$A7,Tareas!$I$5:$I$77,B$4,Tareas!$L$5:$L$77,"&lt;&gt;Baja")</f>
        <v/>
      </c>
      <c r="C7" s="48">
        <f>SUMIFS(Tareas!$M$5:$M$77,Tareas!$D$5:$D$77,$A7,Tareas!$I$5:$I$77,C$4,Tareas!$L$5:$L$77,"&lt;&gt;Baja")</f>
        <v/>
      </c>
      <c r="D7" s="48">
        <f>SUMIFS(Tareas!$M$5:$M$77,Tareas!$D$5:$D$77,$A7,Tareas!$I$5:$I$77,D$4,Tareas!$L$5:$L$77,"&lt;&gt;Baja")</f>
        <v/>
      </c>
      <c r="E7" s="48">
        <f>SUMIFS(Tareas!$M$5:$M$77,Tareas!$D$5:$D$77,$A7,Tareas!$I$5:$I$77,E$4,Tareas!$L$5:$L$77,"&lt;&gt;Baja")</f>
        <v/>
      </c>
      <c r="F7" s="48">
        <f>SUMIFS(Tareas!$M$5:$M$77,Tareas!$D$5:$D$77,$A7,Tareas!$I$5:$I$77,F$4,Tareas!$L$5:$L$77,"&lt;&gt;Baja")</f>
        <v/>
      </c>
      <c r="G7" s="48">
        <f>SUM(B7:F7)</f>
        <v/>
      </c>
      <c r="H7" s="48">
        <f>SUMIFS(Tareas!$M$5:$M$77,Tareas!$D$5:$D$77,$A7,Tareas!$L$5:$L$77,"Baja")</f>
        <v/>
      </c>
      <c r="I7" s="48">
        <f>COUNTIF(Tareas!$D$5:$D$77,$A7)</f>
        <v/>
      </c>
      <c r="J7" s="48">
        <f>COUNTIFS(Tareas!$D$5:$D$77,$A7,Tareas!$S$5:$S$77,"Hecha")</f>
        <v/>
      </c>
      <c r="K7" s="15">
        <f>IFERROR(J7/I7,0)</f>
        <v/>
      </c>
    </row>
    <row r="8">
      <c r="A8" s="18" t="inlineStr">
        <is>
          <t>Alvaro</t>
        </is>
      </c>
      <c r="B8" s="48">
        <f>SUMIFS(Tareas!$M$5:$M$77,Tareas!$D$5:$D$77,$A8,Tareas!$I$5:$I$77,B$4,Tareas!$L$5:$L$77,"&lt;&gt;Baja")</f>
        <v/>
      </c>
      <c r="C8" s="48">
        <f>SUMIFS(Tareas!$M$5:$M$77,Tareas!$D$5:$D$77,$A8,Tareas!$I$5:$I$77,C$4,Tareas!$L$5:$L$77,"&lt;&gt;Baja")</f>
        <v/>
      </c>
      <c r="D8" s="48">
        <f>SUMIFS(Tareas!$M$5:$M$77,Tareas!$D$5:$D$77,$A8,Tareas!$I$5:$I$77,D$4,Tareas!$L$5:$L$77,"&lt;&gt;Baja")</f>
        <v/>
      </c>
      <c r="E8" s="48">
        <f>SUMIFS(Tareas!$M$5:$M$77,Tareas!$D$5:$D$77,$A8,Tareas!$I$5:$I$77,E$4,Tareas!$L$5:$L$77,"&lt;&gt;Baja")</f>
        <v/>
      </c>
      <c r="F8" s="48">
        <f>SUMIFS(Tareas!$M$5:$M$77,Tareas!$D$5:$D$77,$A8,Tareas!$I$5:$I$77,F$4,Tareas!$L$5:$L$77,"&lt;&gt;Baja")</f>
        <v/>
      </c>
      <c r="G8" s="48">
        <f>SUM(B8:F8)</f>
        <v/>
      </c>
      <c r="H8" s="48">
        <f>SUMIFS(Tareas!$M$5:$M$77,Tareas!$D$5:$D$77,$A8,Tareas!$L$5:$L$77,"Baja")</f>
        <v/>
      </c>
      <c r="I8" s="48">
        <f>COUNTIF(Tareas!$D$5:$D$77,$A8)</f>
        <v/>
      </c>
      <c r="J8" s="48">
        <f>COUNTIFS(Tareas!$D$5:$D$77,$A8,Tareas!$S$5:$S$77,"Hecha")</f>
        <v/>
      </c>
      <c r="K8" s="15">
        <f>IFERROR(J8/I8,0)</f>
        <v/>
      </c>
    </row>
    <row r="9">
      <c r="A9" s="19" t="inlineStr">
        <is>
          <t>Alan</t>
        </is>
      </c>
      <c r="B9" s="48">
        <f>SUMIFS(Tareas!$M$5:$M$77,Tareas!$D$5:$D$77,$A9,Tareas!$I$5:$I$77,B$4,Tareas!$L$5:$L$77,"&lt;&gt;Baja")</f>
        <v/>
      </c>
      <c r="C9" s="48">
        <f>SUMIFS(Tareas!$M$5:$M$77,Tareas!$D$5:$D$77,$A9,Tareas!$I$5:$I$77,C$4,Tareas!$L$5:$L$77,"&lt;&gt;Baja")</f>
        <v/>
      </c>
      <c r="D9" s="48">
        <f>SUMIFS(Tareas!$M$5:$M$77,Tareas!$D$5:$D$77,$A9,Tareas!$I$5:$I$77,D$4,Tareas!$L$5:$L$77,"&lt;&gt;Baja")</f>
        <v/>
      </c>
      <c r="E9" s="48">
        <f>SUMIFS(Tareas!$M$5:$M$77,Tareas!$D$5:$D$77,$A9,Tareas!$I$5:$I$77,E$4,Tareas!$L$5:$L$77,"&lt;&gt;Baja")</f>
        <v/>
      </c>
      <c r="F9" s="48">
        <f>SUMIFS(Tareas!$M$5:$M$77,Tareas!$D$5:$D$77,$A9,Tareas!$I$5:$I$77,F$4,Tareas!$L$5:$L$77,"&lt;&gt;Baja")</f>
        <v/>
      </c>
      <c r="G9" s="48">
        <f>SUM(B9:F9)</f>
        <v/>
      </c>
      <c r="H9" s="48">
        <f>SUMIFS(Tareas!$M$5:$M$77,Tareas!$D$5:$D$77,$A9,Tareas!$L$5:$L$77,"Baja")</f>
        <v/>
      </c>
      <c r="I9" s="48">
        <f>COUNTIF(Tareas!$D$5:$D$77,$A9)</f>
        <v/>
      </c>
      <c r="J9" s="48">
        <f>COUNTIFS(Tareas!$D$5:$D$77,$A9,Tareas!$S$5:$S$77,"Hecha")</f>
        <v/>
      </c>
      <c r="K9" s="15">
        <f>IFERROR(J9/I9,0)</f>
        <v/>
      </c>
    </row>
    <row r="10">
      <c r="A10" s="20" t="inlineStr">
        <is>
          <t>Favian</t>
        </is>
      </c>
      <c r="B10" s="48">
        <f>SUMIFS(Tareas!$M$5:$M$77,Tareas!$D$5:$D$77,$A10,Tareas!$I$5:$I$77,B$4,Tareas!$L$5:$L$77,"&lt;&gt;Baja")</f>
        <v/>
      </c>
      <c r="C10" s="48">
        <f>SUMIFS(Tareas!$M$5:$M$77,Tareas!$D$5:$D$77,$A10,Tareas!$I$5:$I$77,C$4,Tareas!$L$5:$L$77,"&lt;&gt;Baja")</f>
        <v/>
      </c>
      <c r="D10" s="48">
        <f>SUMIFS(Tareas!$M$5:$M$77,Tareas!$D$5:$D$77,$A10,Tareas!$I$5:$I$77,D$4,Tareas!$L$5:$L$77,"&lt;&gt;Baja")</f>
        <v/>
      </c>
      <c r="E10" s="48">
        <f>SUMIFS(Tareas!$M$5:$M$77,Tareas!$D$5:$D$77,$A10,Tareas!$I$5:$I$77,E$4,Tareas!$L$5:$L$77,"&lt;&gt;Baja")</f>
        <v/>
      </c>
      <c r="F10" s="48">
        <f>SUMIFS(Tareas!$M$5:$M$77,Tareas!$D$5:$D$77,$A10,Tareas!$I$5:$I$77,F$4,Tareas!$L$5:$L$77,"&lt;&gt;Baja")</f>
        <v/>
      </c>
      <c r="G10" s="48">
        <f>SUM(B10:F10)</f>
        <v/>
      </c>
      <c r="H10" s="48">
        <f>SUMIFS(Tareas!$M$5:$M$77,Tareas!$D$5:$D$77,$A10,Tareas!$L$5:$L$77,"Baja")</f>
        <v/>
      </c>
      <c r="I10" s="48">
        <f>COUNTIF(Tareas!$D$5:$D$77,$A10)</f>
        <v/>
      </c>
      <c r="J10" s="48">
        <f>COUNTIFS(Tareas!$D$5:$D$77,$A10,Tareas!$S$5:$S$77,"Hecha")</f>
        <v/>
      </c>
      <c r="K10" s="15">
        <f>IFERROR(J10/I10,0)</f>
        <v/>
      </c>
    </row>
    <row r="11">
      <c r="A11" s="21" t="inlineStr">
        <is>
          <t>Equipo</t>
        </is>
      </c>
      <c r="B11" s="49">
        <f>SUM(B5:B10)</f>
        <v/>
      </c>
      <c r="C11" s="49">
        <f>SUM(C5:C10)</f>
        <v/>
      </c>
      <c r="D11" s="49">
        <f>SUM(D5:D10)</f>
        <v/>
      </c>
      <c r="E11" s="49">
        <f>SUM(E5:E10)</f>
        <v/>
      </c>
      <c r="F11" s="49">
        <f>SUM(F5:F10)</f>
        <v/>
      </c>
      <c r="G11" s="49">
        <f>SUM(G5:G10)</f>
        <v/>
      </c>
      <c r="H11" s="49">
        <f>SUM(H5:H10)</f>
        <v/>
      </c>
      <c r="I11" s="49">
        <f>SUM(I5:I10)</f>
        <v/>
      </c>
      <c r="J11" s="49">
        <f>SUM(J5:J10)</f>
        <v/>
      </c>
      <c r="K11" s="37">
        <f>IFERROR(J11/I11,0)</f>
        <v/>
      </c>
    </row>
    <row r="13">
      <c r="A13" s="7" t="inlineStr">
        <is>
          <t>Capacidad de referencia: ~11 h/día por persona (sáb, dom, lun). En rojo, más de 12 h vencen el mismo día: revisar en la daily si conviene mover algo.</t>
        </is>
      </c>
    </row>
    <row r="14">
      <c r="A14" s="7" t="inlineStr">
        <is>
          <t>IAM-07 (plan B, 6 h) solo se ejecuta si Keycloak no pasa el go/no-go; si pasa, se cancela y esas horas se liberan.</t>
        </is>
      </c>
    </row>
  </sheetData>
  <conditionalFormatting sqref="B5:F10">
    <cfRule type="cellIs" priority="1" operator="greaterThan" dxfId="2">
      <formula>12</formula>
    </cfRule>
  </conditionalFormatting>
  <conditionalFormatting sqref="K5:K11">
    <cfRule type="dataBar" priority="2">
      <dataBar>
        <cfvo type="num" val="0"/>
        <cfvo type="num" val="1"/>
        <color rgb="0063BE7B"/>
      </dataBar>
    </cfRule>
  </conditionalFormatting>
  <pageMargins left="0.75" right="0.75" top="1" bottom="1" header="0.5" footer="0.5"/>
</worksheet>
</file>

<file path=xl/worksheets/sheet4.xml><?xml version="1.0" encoding="utf-8"?>
<worksheet xmlns="http://schemas.openxmlformats.org/spreadsheetml/2006/main">
  <sheetPr>
    <tabColor rgb="0095A2B3"/>
    <outlinePr summaryBelow="1" summaryRight="1"/>
    <pageSetUpPr/>
  </sheetPr>
  <dimension ref="A1:L12"/>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1" t="inlineStr">
        <is>
          <t>Cronograma — qué vence en cada bloque</t>
        </is>
      </c>
    </row>
    <row r="2">
      <c r="A2" s="2" t="inlineStr">
        <is>
          <t>Mañana = hasta las 13:00 · Tarde = 13:01–18:00 · Noche = después de las 18:00. Cada celda lista las tareas que VENCEN en ese bloque.</t>
        </is>
      </c>
    </row>
    <row r="4">
      <c r="A4" s="10" t="inlineStr">
        <is>
          <t>Persona</t>
        </is>
      </c>
      <c r="B4" s="10" t="inlineStr">
        <is>
          <t>Sáb 10</t>
        </is>
      </c>
      <c r="C4" s="10" t="inlineStr">
        <is>
          <t>Sáb 10</t>
        </is>
      </c>
      <c r="D4" s="10" t="inlineStr">
        <is>
          <t>Sáb 10</t>
        </is>
      </c>
      <c r="E4" s="10" t="inlineStr">
        <is>
          <t>Dom 11</t>
        </is>
      </c>
      <c r="F4" s="10" t="inlineStr">
        <is>
          <t>Dom 11</t>
        </is>
      </c>
      <c r="G4" s="10" t="inlineStr">
        <is>
          <t>Dom 11</t>
        </is>
      </c>
      <c r="H4" s="10" t="inlineStr">
        <is>
          <t>Lun 12</t>
        </is>
      </c>
      <c r="I4" s="10" t="inlineStr">
        <is>
          <t>Lun 12</t>
        </is>
      </c>
      <c r="J4" s="10" t="inlineStr">
        <is>
          <t>Lun 12</t>
        </is>
      </c>
      <c r="K4" s="10" t="inlineStr">
        <is>
          <t>Mar 13</t>
        </is>
      </c>
      <c r="L4" s="10" t="inlineStr">
        <is>
          <t>Jue 15</t>
        </is>
      </c>
    </row>
    <row r="5">
      <c r="A5" s="10" t="inlineStr"/>
      <c r="B5" s="10" t="inlineStr">
        <is>
          <t>Mañana</t>
        </is>
      </c>
      <c r="C5" s="10" t="inlineStr">
        <is>
          <t>Tarde</t>
        </is>
      </c>
      <c r="D5" s="10" t="inlineStr">
        <is>
          <t>Noche</t>
        </is>
      </c>
      <c r="E5" s="10" t="inlineStr">
        <is>
          <t>Mañana</t>
        </is>
      </c>
      <c r="F5" s="10" t="inlineStr">
        <is>
          <t>Tarde</t>
        </is>
      </c>
      <c r="G5" s="10" t="inlineStr">
        <is>
          <t>Noche</t>
        </is>
      </c>
      <c r="H5" s="10" t="inlineStr">
        <is>
          <t>Mañana</t>
        </is>
      </c>
      <c r="I5" s="10" t="inlineStr">
        <is>
          <t>Tarde</t>
        </is>
      </c>
      <c r="J5" s="10" t="inlineStr">
        <is>
          <t>Noche</t>
        </is>
      </c>
      <c r="K5" s="10" t="inlineStr">
        <is>
          <t>Mañana</t>
        </is>
      </c>
      <c r="L5" s="10" t="inlineStr">
        <is>
          <t>Día</t>
        </is>
      </c>
    </row>
    <row r="6" ht="95" customHeight="1">
      <c r="A6" s="11" t="inlineStr">
        <is>
          <t>Nicole</t>
        </is>
      </c>
      <c r="B6" s="38" t="inlineStr">
        <is>
          <t>C-01 (10:00)</t>
        </is>
      </c>
      <c r="C6" s="38" t="inlineStr">
        <is>
          <t>IAM-01 (18:00)</t>
        </is>
      </c>
      <c r="D6" s="38" t="inlineStr">
        <is>
          <t>IAM-02 (22:00)</t>
        </is>
      </c>
      <c r="E6" s="38" t="inlineStr">
        <is>
          <t>IAM-04 (13:00)</t>
        </is>
      </c>
      <c r="F6" s="38" t="inlineStr">
        <is>
          <t>IAM-03 (17:00)
IAM-07 (18:00)</t>
        </is>
      </c>
      <c r="G6" s="38" t="inlineStr">
        <is>
          <t>IAM-05 (22:00)</t>
        </is>
      </c>
      <c r="H6" s="12" t="inlineStr"/>
      <c r="I6" s="38" t="inlineStr">
        <is>
          <t>C-03 (18:00)
IAM-06 (14:00)
PR-01 (15:00)
PR-02 (16:00)</t>
        </is>
      </c>
      <c r="J6" s="38" t="inlineStr">
        <is>
          <t>INF-03 (19:00)</t>
        </is>
      </c>
      <c r="K6" s="38" t="inlineStr">
        <is>
          <t>C-04 (07:30)</t>
        </is>
      </c>
      <c r="L6" s="38" t="inlineStr">
        <is>
          <t>IAM-08 (18:00)</t>
        </is>
      </c>
    </row>
    <row r="7" ht="95" customHeight="1">
      <c r="A7" s="16" t="inlineStr">
        <is>
          <t>Franco</t>
        </is>
      </c>
      <c r="B7" s="39" t="inlineStr">
        <is>
          <t>RBAC-01 (13:00)</t>
        </is>
      </c>
      <c r="C7" s="12" t="inlineStr"/>
      <c r="D7" s="39" t="inlineStr">
        <is>
          <t>RBAC-02 (20:00)
PO-02 (21:00)</t>
        </is>
      </c>
      <c r="E7" s="12" t="inlineStr"/>
      <c r="F7" s="39" t="inlineStr">
        <is>
          <t>RBAC-03 (16:00)
PR-03 (18:00)</t>
        </is>
      </c>
      <c r="G7" s="12" t="inlineStr"/>
      <c r="H7" s="39" t="inlineStr">
        <is>
          <t>RBAC-04 (11:00)</t>
        </is>
      </c>
      <c r="I7" s="39" t="inlineStr">
        <is>
          <t>RBAC-05 (16:00)
RBAC-06 (14:00)</t>
        </is>
      </c>
      <c r="J7" s="39" t="inlineStr">
        <is>
          <t>INF-04 (19:00)
INF-05 (19:00)</t>
        </is>
      </c>
      <c r="K7" s="12" t="inlineStr"/>
      <c r="L7" s="12" t="inlineStr"/>
    </row>
    <row r="8" ht="95" customHeight="1">
      <c r="A8" s="17" t="inlineStr">
        <is>
          <t>Juanjo</t>
        </is>
      </c>
      <c r="B8" s="12" t="inlineStr"/>
      <c r="C8" s="40" t="inlineStr">
        <is>
          <t>VULN-01 (14:00)</t>
        </is>
      </c>
      <c r="D8" s="40" t="inlineStr">
        <is>
          <t>HARD-01 (20:00)
HARD-03 (22:00)</t>
        </is>
      </c>
      <c r="E8" s="12" t="inlineStr"/>
      <c r="F8" s="40" t="inlineStr">
        <is>
          <t>HARD-02 (14:00)</t>
        </is>
      </c>
      <c r="G8" s="40" t="inlineStr">
        <is>
          <t>HARD-04 (20:00)
PO-07 (21:00)
PR-04 (22:00)</t>
        </is>
      </c>
      <c r="H8" s="40" t="inlineStr">
        <is>
          <t>DEP-01 (12:00)</t>
        </is>
      </c>
      <c r="I8" s="40" t="inlineStr">
        <is>
          <t>VULN-02 (17:00)</t>
        </is>
      </c>
      <c r="J8" s="40" t="inlineStr">
        <is>
          <t>INF-06 (19:00)
INF-08 (19:00)</t>
        </is>
      </c>
      <c r="K8" s="12" t="inlineStr"/>
      <c r="L8" s="40" t="inlineStr">
        <is>
          <t>HARD-05 (18:00)</t>
        </is>
      </c>
    </row>
    <row r="9" ht="95" customHeight="1">
      <c r="A9" s="18" t="inlineStr">
        <is>
          <t>Alvaro</t>
        </is>
      </c>
      <c r="B9" s="12" t="inlineStr"/>
      <c r="C9" s="41" t="inlineStr">
        <is>
          <t>CRY-01 (14:00)</t>
        </is>
      </c>
      <c r="D9" s="41" t="inlineStr">
        <is>
          <t>CRY-02 (19:00)
CRY-03 (21:00)</t>
        </is>
      </c>
      <c r="E9" s="41" t="inlineStr">
        <is>
          <t>LOG-01 (13:00)</t>
        </is>
      </c>
      <c r="F9" s="41" t="inlineStr">
        <is>
          <t>LOG-03 (16:00)
PO-05 (18:00)</t>
        </is>
      </c>
      <c r="G9" s="41" t="inlineStr">
        <is>
          <t>PO-06 (20:00)
PR-05 (21:00)</t>
        </is>
      </c>
      <c r="H9" s="41" t="inlineStr">
        <is>
          <t>LOG-02 (13:00)</t>
        </is>
      </c>
      <c r="I9" s="41" t="inlineStr">
        <is>
          <t>CRY-04 (15:00)
LOG-04 (17:00)
PR-06 (18:00)</t>
        </is>
      </c>
      <c r="J9" s="41" t="inlineStr">
        <is>
          <t>INF-07 (19:00)</t>
        </is>
      </c>
      <c r="K9" s="12" t="inlineStr"/>
      <c r="L9" s="12" t="inlineStr"/>
    </row>
    <row r="10" ht="95" customHeight="1">
      <c r="A10" s="19" t="inlineStr">
        <is>
          <t>Alan</t>
        </is>
      </c>
      <c r="B10" s="42" t="inlineStr">
        <is>
          <t>C-02 (12:00)
INF-00 (11:00)</t>
        </is>
      </c>
      <c r="C10" s="12" t="inlineStr"/>
      <c r="D10" s="42" t="inlineStr">
        <is>
          <t>INF-01 (21:00)</t>
        </is>
      </c>
      <c r="E10" s="12" t="inlineStr"/>
      <c r="F10" s="42" t="inlineStr">
        <is>
          <t>ISO-01 (15:00)</t>
        </is>
      </c>
      <c r="G10" s="42" t="inlineStr">
        <is>
          <t>RSK-01 (19:00)</t>
        </is>
      </c>
      <c r="H10" s="42" t="inlineStr">
        <is>
          <t>ISO-03 (13:00)</t>
        </is>
      </c>
      <c r="I10" s="42" t="inlineStr">
        <is>
          <t>ISO-02 (17:00)</t>
        </is>
      </c>
      <c r="J10" s="42" t="inlineStr">
        <is>
          <t>INF-02 (19:00)
INF-09 (23:00)
ENT-03 (23:59)</t>
        </is>
      </c>
      <c r="K10" s="12" t="inlineStr"/>
      <c r="L10" s="42" t="inlineStr">
        <is>
          <t>ENT-04 (18:00)</t>
        </is>
      </c>
    </row>
    <row r="11" ht="95" customHeight="1">
      <c r="A11" s="20" t="inlineStr">
        <is>
          <t>Favian</t>
        </is>
      </c>
      <c r="B11" s="43" t="inlineStr">
        <is>
          <t>GRC-00 (11:00)</t>
        </is>
      </c>
      <c r="C11" s="43" t="inlineStr">
        <is>
          <t>GRC-01 (15:00)
PO-03 (18:00)</t>
        </is>
      </c>
      <c r="D11" s="43" t="inlineStr">
        <is>
          <t>GRC-02 (20:00)</t>
        </is>
      </c>
      <c r="E11" s="43" t="inlineStr">
        <is>
          <t>PO-01 (12:00)</t>
        </is>
      </c>
      <c r="F11" s="43" t="inlineStr">
        <is>
          <t>PWM-01 (17:00)
GRC-03 (14:00)</t>
        </is>
      </c>
      <c r="G11" s="43" t="inlineStr">
        <is>
          <t>PO-04 (20:00)
PR-07 (19:00)
PR-08 (21:00)</t>
        </is>
      </c>
      <c r="H11" s="12" t="inlineStr"/>
      <c r="I11" s="43" t="inlineStr">
        <is>
          <t>MOD15-01 (16:00)</t>
        </is>
      </c>
      <c r="J11" s="43" t="inlineStr">
        <is>
          <t>ENT-01 (23:00)</t>
        </is>
      </c>
      <c r="K11" s="12" t="inlineStr"/>
      <c r="L11" s="43" t="inlineStr">
        <is>
          <t>ENT-02 (12:00)</t>
        </is>
      </c>
    </row>
    <row r="12" ht="95" customHeight="1">
      <c r="A12" s="21" t="inlineStr">
        <is>
          <t>Hitos del equipo</t>
        </is>
      </c>
      <c r="B12" s="44" t="inlineStr">
        <is>
          <t>09:00 Kickoff
11:00 Plantillas
12:00 Respuesta docente</t>
        </is>
      </c>
      <c r="C12" s="44" t="inlineStr">
        <is>
          <t>14:00 Escaneo «antes» listo
18:00 GO/NO-GO Keycloak</t>
        </is>
      </c>
      <c r="D12" s="44" t="inlineStr">
        <is>
          <t>21:00 Daily</t>
        </is>
      </c>
      <c r="E12" s="44" t="inlineStr">
        <is>
          <t>09:00 Daily</t>
        </is>
      </c>
      <c r="F12" s="44" t="inlineStr"/>
      <c r="G12" s="44" t="inlineStr">
        <is>
          <t>21:00 Daily
22:00 Backend de seguridad completo</t>
        </is>
      </c>
      <c r="H12" s="44" t="inlineStr">
        <is>
          <t>09:00 Daily
12:00 Enlace público</t>
        </is>
      </c>
      <c r="I12" s="44" t="inlineStr">
        <is>
          <t>18:00 CODE FREEZE</t>
        </is>
      </c>
      <c r="J12" s="44" t="inlineStr">
        <is>
          <t>19:00 Secciones del informe
20:00 Diapositivas de cada uno
21:30 Ensayo
23:00 PDF + presentación
23:59 LMS</t>
        </is>
      </c>
      <c r="K12" s="44" t="inlineStr">
        <is>
          <t>07:00 Ensayo final
PRESENTACIÓN</t>
        </is>
      </c>
      <c r="L12" s="44" t="inlineStr">
        <is>
          <t>Entrega 2</t>
        </is>
      </c>
    </row>
  </sheetData>
  <pageMargins left="0.75" right="0.75" top="1" bottom="1" header="0.5" footer="0.5"/>
</worksheet>
</file>

<file path=xl/worksheets/sheet5.xml><?xml version="1.0" encoding="utf-8"?>
<worksheet xmlns="http://schemas.openxmlformats.org/spreadsheetml/2006/main">
  <sheetPr>
    <tabColor rgb="0095A2B3"/>
    <outlinePr summaryBelow="1" summaryRight="1"/>
    <pageSetUpPr/>
  </sheetPr>
  <dimension ref="A1:B30"/>
  <sheetViews>
    <sheetView showGridLines="0" workbookViewId="0">
      <selection activeCell="A1" sqref="A1"/>
    </sheetView>
  </sheetViews>
  <sheetFormatPr baseColWidth="8" defaultRowHeight="15"/>
  <cols>
    <col width="30" customWidth="1" min="1" max="1"/>
    <col width="110" customWidth="1" min="2" max="2"/>
  </cols>
  <sheetData>
    <row r="1">
      <c r="A1" s="1" t="inlineStr">
        <is>
          <t>Dependencias y ruta crítica</t>
        </is>
      </c>
    </row>
    <row r="2">
      <c r="A2" s="2" t="inlineStr">
        <is>
          <t>Si una tarea de la ruta crítica se atrasa, se atrasa la entrega. Prioridad de ayuda: primero desbloquear la ruta crítica.</t>
        </is>
      </c>
    </row>
    <row r="4">
      <c r="A4" s="3" t="inlineStr">
        <is>
          <t>Ruta crítica hasta la entrega del lunes (ENT-03)</t>
        </is>
      </c>
    </row>
    <row r="5" ht="60" customHeight="1">
      <c r="A5" s="5" t="inlineStr">
        <is>
          <t>27 h encadenadas</t>
        </is>
      </c>
      <c r="B5" s="4" t="inlineStr">
        <is>
          <t>C-01 (Nicole, Sáb 10 10:00)  →  IAM-01 (Nicole, Sáb 10 18:00)  →  IAM-02 (Nicole, Sáb 10 22:00)  →  IAM-03 (Nicole, Dom 11 17:00)  →  IAM-05 (Nicole, Dom 11 22:00)  →  LOG-02 (Alvaro, Lun 12 13:00)  →  LOG-04 (Alvaro, Lun 12 17:00)  →  INF-07 (Alvaro, Lun 12 19:00)  →  INF-09 (Alan, Lun 12 23:00)  →  ENT-03 (Alan, Lun 12 23:59)</t>
        </is>
      </c>
    </row>
    <row r="7">
      <c r="A7" s="3" t="inlineStr">
        <is>
          <t>Cadenas por frente</t>
        </is>
      </c>
    </row>
    <row r="8">
      <c r="A8" s="10" t="inlineStr">
        <is>
          <t>Frente</t>
        </is>
      </c>
      <c r="B8" s="10" t="inlineStr">
        <is>
          <t>Cadena (→ = «debe terminar antes que»)</t>
        </is>
      </c>
    </row>
    <row r="9" ht="45" customHeight="1">
      <c r="A9" s="21" t="inlineStr">
        <is>
          <t>Identidad y contraseñas</t>
        </is>
      </c>
      <c r="B9" s="12" t="inlineStr">
        <is>
          <t>C-01 → IAM-01 (go/no-go 18:00) → IAM-02 → IAM-03 → IAM-05 → IAM-06 → C-03 (code freeze) → C-04 (ensayo).  PO-03 (valores de la política) → IAM-02.  IAM-01 → IAM-04 → IAM-05.  Si IAM-01 = no-go → IAM-07.</t>
        </is>
      </c>
    </row>
    <row r="10" ht="45" customHeight="1">
      <c r="A10" s="21" t="inlineStr">
        <is>
          <t>Roles y autorización</t>
        </is>
      </c>
      <c r="B10" s="12" t="inlineStr">
        <is>
          <t>C-01 → RBAC-01 → RBAC-02 → RBAC-05 → INF-04.  RBAC-01 → RBAC-03 → RBAC-04 → VULN-02 → INF-08.  RBAC-01 → RBAC-06 → INF-04.</t>
        </is>
      </c>
    </row>
    <row r="11" ht="45" customHeight="1">
      <c r="A11" s="21" t="inlineStr">
        <is>
          <t>Hardening y escaneo</t>
        </is>
      </c>
      <c r="B11" s="12" t="inlineStr">
        <is>
          <t>VULN-01 (antes) → HARD-01 / HARD-02 / HARD-03 / HARD-04 → VULN-02 (después) → INF-08 → INF-09.  HARD-01 + IAM-03 → DEP-01 → C-03.</t>
        </is>
      </c>
    </row>
    <row r="12" ht="45" customHeight="1">
      <c r="A12" s="21" t="inlineStr">
        <is>
          <t>Criptografía e integridad</t>
        </is>
      </c>
      <c r="B12" s="12" t="inlineStr">
        <is>
          <t>CRY-01 → PO-05.  CRY-01 + CRY-02 + CRY-03 → CRY-04 → INF-09.  CRY-02 + CRY-03 → PR-05.</t>
        </is>
      </c>
    </row>
    <row r="13" ht="45" customHeight="1">
      <c r="A13" s="21" t="inlineStr">
        <is>
          <t>Logs de seguridad</t>
        </is>
      </c>
      <c r="B13" s="12" t="inlineStr">
        <is>
          <t>LOG-01 + IAM-04 + IAM-05 + RBAC-02 → LOG-02 → LOG-04 → INF-07.  LOG-02 → PR-06.</t>
        </is>
      </c>
    </row>
    <row r="14" ht="45" customHeight="1">
      <c r="A14" s="21" t="inlineStr">
        <is>
          <t>Clasificación de la información</t>
        </is>
      </c>
      <c r="B14" s="12" t="inlineStr">
        <is>
          <t>C-01 → GRC-01 (inventario) → GRC-02 (formulario) → GRC-03 (matriz) → INF-09.  GRC-02 → MOD15-01 (módulo 15).  GRC-01 → RSK-01 (riesgos).</t>
        </is>
      </c>
    </row>
    <row r="15" ht="45" customHeight="1">
      <c r="A15" s="21" t="inlineStr">
        <is>
          <t>ISO 27002 y brechas</t>
        </is>
      </c>
      <c r="B15" s="12" t="inlineStr">
        <is>
          <t>ISO-01 (2022) → ISO-02 (2013 + mapeo).  ISO-01 → ISO-03 (fichas de brechas) → INF-09.</t>
        </is>
      </c>
    </row>
    <row r="16" ht="45" customHeight="1">
      <c r="A16" s="21" t="inlineStr">
        <is>
          <t>Políticas y procedimientos</t>
        </is>
      </c>
      <c r="B16" s="12" t="inlineStr">
        <is>
          <t>C-01 → GRC-00 (plantilla) → todas las PO-xx y PR-xx. Cada procedimiento espera además a la funcionalidad que documenta (ej. PR-02 espera a IAM-05).</t>
        </is>
      </c>
    </row>
    <row r="17" ht="45" customHeight="1">
      <c r="A17" s="21" t="inlineStr">
        <is>
          <t>Informe y entregables</t>
        </is>
      </c>
      <c r="B17" s="12" t="inlineStr">
        <is>
          <t>C-01 → INF-00 → INF-01.  Todas las INF-0x + RSK-01 + MOD15-01 + ISO-01/03 + GRC-03 + CRY-04 + RBAC-06 → INF-09 → ENT-03 (LMS).  INF-02 → ENT-01 → C-04.  C-02 + INF-09 → ENT-02 (póster).</t>
        </is>
      </c>
    </row>
    <row r="19">
      <c r="A19" s="3" t="inlineStr">
        <is>
          <t>Tareas que más bloquean (desbloquear primero)</t>
        </is>
      </c>
    </row>
    <row r="20">
      <c r="A20" s="10" t="inlineStr">
        <is>
          <t>Tarea</t>
        </is>
      </c>
      <c r="B20" s="10" t="inlineStr">
        <is>
          <t>Bloquea directamente a</t>
        </is>
      </c>
    </row>
    <row r="21">
      <c r="A21" s="21" t="inlineStr">
        <is>
          <t>GRC-00 — Favian</t>
        </is>
      </c>
      <c r="B21" s="12" t="inlineStr">
        <is>
          <t>16 tareas: GRC-02, PO-01, PO-02, PO-03, PO-04, PO-05, PO-06, PO-07, PR-01, PR-02, PR-03, PR-04, PR-05, PR-06, PR-07, PR-08</t>
        </is>
      </c>
    </row>
    <row r="22">
      <c r="A22" s="21" t="inlineStr">
        <is>
          <t>C-01 — Nicole</t>
        </is>
      </c>
      <c r="B22" s="12" t="inlineStr">
        <is>
          <t>9 tareas: IAM-01, IAM-04, PWM-01, RBAC-01, GRC-00, GRC-01, MOD15-01, PO-03, INF-00</t>
        </is>
      </c>
    </row>
    <row r="23">
      <c r="A23" s="21" t="inlineStr">
        <is>
          <t>VULN-01 — Juanjo</t>
        </is>
      </c>
      <c r="B23" s="12" t="inlineStr">
        <is>
          <t>6 tareas: HARD-01, HARD-02, HARD-03, HARD-04, PO-07, PR-04</t>
        </is>
      </c>
    </row>
    <row r="24">
      <c r="A24" s="21" t="inlineStr">
        <is>
          <t>HARD-01 — Juanjo</t>
        </is>
      </c>
      <c r="B24" s="12" t="inlineStr">
        <is>
          <t>6 tareas: HARD-05, VULN-02, DEP-01, INF-02, INF-05, INF-06</t>
        </is>
      </c>
    </row>
    <row r="25">
      <c r="A25" s="21" t="inlineStr">
        <is>
          <t>IAM-01 — Nicole</t>
        </is>
      </c>
      <c r="B25" s="12" t="inlineStr">
        <is>
          <t>4 tareas: IAM-02, IAM-04, IAM-07, PWM-01</t>
        </is>
      </c>
    </row>
    <row r="26">
      <c r="A26" s="21" t="inlineStr">
        <is>
          <t>IAM-04 — Nicole</t>
        </is>
      </c>
      <c r="B26" s="12" t="inlineStr">
        <is>
          <t>4 tareas: IAM-05, IAM-06, LOG-02, PR-01</t>
        </is>
      </c>
    </row>
    <row r="27">
      <c r="A27" s="21" t="inlineStr">
        <is>
          <t>IAM-05 — Nicole</t>
        </is>
      </c>
      <c r="B27" s="12" t="inlineStr">
        <is>
          <t>4 tareas: IAM-06, LOG-02, PR-02, INF-02</t>
        </is>
      </c>
    </row>
    <row r="28">
      <c r="A28" s="21" t="inlineStr">
        <is>
          <t>RBAC-01 — Franco</t>
        </is>
      </c>
      <c r="B28" s="12" t="inlineStr">
        <is>
          <t>4 tareas: RBAC-02, RBAC-03, RBAC-06, PO-02</t>
        </is>
      </c>
    </row>
    <row r="29">
      <c r="A29" s="21" t="inlineStr">
        <is>
          <t>HARD-03 — Juanjo</t>
        </is>
      </c>
      <c r="B29" s="12" t="inlineStr">
        <is>
          <t>4 tareas: VULN-02, INF-02, INF-05, INF-06</t>
        </is>
      </c>
    </row>
    <row r="30">
      <c r="A30" s="21" t="inlineStr">
        <is>
          <t>CRY-02 — Alvaro</t>
        </is>
      </c>
      <c r="B30" s="12" t="inlineStr">
        <is>
          <t>4 tareas: C-03, CRY-04, PR-05, INF-02</t>
        </is>
      </c>
    </row>
  </sheetData>
  <pageMargins left="0.75" right="0.75" top="1" bottom="1" header="0.5" footer="0.5"/>
</worksheet>
</file>

<file path=xl/worksheets/sheet6.xml><?xml version="1.0" encoding="utf-8"?>
<worksheet xmlns="http://schemas.openxmlformats.org/spreadsheetml/2006/main">
  <sheetPr>
    <tabColor rgb="0095A2B3"/>
    <outlinePr summaryBelow="1" summaryRight="1"/>
    <pageSetUpPr/>
  </sheetPr>
  <dimension ref="A1:D45"/>
  <sheetViews>
    <sheetView showGridLines="0" workbookViewId="0">
      <pane ySplit="4" topLeftCell="A5" activePane="bottomLeft" state="frozen"/>
      <selection pane="bottomLeft" activeCell="A1" sqref="A1"/>
    </sheetView>
  </sheetViews>
  <sheetFormatPr baseColWidth="8" defaultRowHeight="15"/>
  <cols>
    <col width="12" customWidth="1" min="1" max="1"/>
    <col width="60" customWidth="1" min="2" max="2"/>
    <col width="40" customWidth="1" min="3" max="3"/>
    <col width="16" customWidth="1" min="4" max="4"/>
  </cols>
  <sheetData>
    <row r="1">
      <c r="A1" s="1" t="inlineStr">
        <is>
          <t>Trazabilidad: exigencias del PDF y documentos extra → tareas</t>
        </is>
      </c>
    </row>
    <row r="2">
      <c r="A2" s="2" t="inlineStr">
        <is>
          <t>Fuente: «PROYECTO DE SEGURIDAD DE SISTEMAS 2025.pdf» (Mgr. Ing. Lourdes Peredo Quiroga) + documentos pedidos por la docente al equipo.</t>
        </is>
      </c>
    </row>
    <row r="4">
      <c r="A4" s="10" t="inlineStr">
        <is>
          <t>Ref.</t>
        </is>
      </c>
      <c r="B4" s="10" t="inlineStr">
        <is>
          <t>Exigencia</t>
        </is>
      </c>
      <c r="C4" s="10" t="inlineStr">
        <is>
          <t>Tareas que la cubren</t>
        </is>
      </c>
      <c r="D4" s="10" t="inlineStr">
        <is>
          <t>Responsable principal</t>
        </is>
      </c>
    </row>
    <row r="5">
      <c r="A5" s="25" t="inlineStr">
        <is>
          <t>1</t>
        </is>
      </c>
      <c r="B5" s="12" t="inlineStr">
        <is>
          <t>Carátula</t>
        </is>
      </c>
      <c r="C5" s="12" t="inlineStr">
        <is>
          <t>INF-00, INF-01</t>
        </is>
      </c>
      <c r="D5" s="13" t="inlineStr">
        <is>
          <t>Alan</t>
        </is>
      </c>
    </row>
    <row r="6">
      <c r="A6" s="25" t="inlineStr">
        <is>
          <t>2–7</t>
        </is>
      </c>
      <c r="B6" s="12" t="inlineStr">
        <is>
          <t>Introducción, nombre y descripción, objetivo, tecnología, problemas que resuelve, módulos</t>
        </is>
      </c>
      <c r="C6" s="12" t="inlineStr">
        <is>
          <t>INF-01</t>
        </is>
      </c>
      <c r="D6" s="13" t="inlineStr">
        <is>
          <t>Alan</t>
        </is>
      </c>
    </row>
    <row r="7">
      <c r="A7" s="25" t="inlineStr">
        <is>
          <t>8</t>
        </is>
      </c>
      <c r="B7" s="12" t="inlineStr">
        <is>
          <t>Alcance de la reingeniería (todo lo de seguridad añadido o corregido)</t>
        </is>
      </c>
      <c r="C7" s="12" t="inlineStr">
        <is>
          <t>INF-02 (+ todas las tareas de código)</t>
        </is>
      </c>
      <c r="D7" s="13" t="inlineStr">
        <is>
          <t>Alan</t>
        </is>
      </c>
    </row>
    <row r="8">
      <c r="A8" s="25" t="inlineStr">
        <is>
          <t>9.1</t>
        </is>
      </c>
      <c r="B8" s="12" t="inlineStr">
        <is>
          <t>ABM de usuarios con User ID de formato estándar</t>
        </is>
      </c>
      <c r="C8" s="12" t="inlineStr">
        <is>
          <t>IAM-04, IAM-06, PR-01, INF-03</t>
        </is>
      </c>
      <c r="D8" s="13" t="inlineStr">
        <is>
          <t>Nicole</t>
        </is>
      </c>
    </row>
    <row r="9">
      <c r="A9" s="25" t="inlineStr">
        <is>
          <t>9.2</t>
        </is>
      </c>
      <c r="B9" s="12" t="inlineStr">
        <is>
          <t>Gestión de roles (altas, bajas, asignación) desde la aplicación, granular</t>
        </is>
      </c>
      <c r="C9" s="12" t="inlineStr">
        <is>
          <t>RBAC-01, RBAC-02, RBAC-03, RBAC-05, PR-03, PO-02, INF-04</t>
        </is>
      </c>
      <c r="D9" s="13" t="inlineStr">
        <is>
          <t>Franco</t>
        </is>
      </c>
    </row>
    <row r="10">
      <c r="A10" s="25" t="inlineStr">
        <is>
          <t>9.2</t>
        </is>
      </c>
      <c r="B10" s="12" t="inlineStr">
        <is>
          <t>Matriz de accesos en plantilla + demostración en el sistema</t>
        </is>
      </c>
      <c r="C10" s="12" t="inlineStr">
        <is>
          <t>RBAC-06, RBAC-05</t>
        </is>
      </c>
      <c r="D10" s="13" t="inlineStr">
        <is>
          <t>Franco</t>
        </is>
      </c>
    </row>
    <row r="11">
      <c r="A11" s="25" t="inlineStr">
        <is>
          <t>9.3</t>
        </is>
      </c>
      <c r="B11" s="12" t="inlineStr">
        <is>
          <t>Complejidad y longitud de contraseña</t>
        </is>
      </c>
      <c r="C11" s="12" t="inlineStr">
        <is>
          <t>PO-03, IAM-02</t>
        </is>
      </c>
      <c r="D11" s="13" t="inlineStr">
        <is>
          <t>Nicole</t>
        </is>
      </c>
    </row>
    <row r="12">
      <c r="A12" s="25" t="inlineStr">
        <is>
          <t>9.3</t>
        </is>
      </c>
      <c r="B12" s="12" t="inlineStr">
        <is>
          <t>Tiempo de vida útil y control de histórico</t>
        </is>
      </c>
      <c r="C12" s="12" t="inlineStr">
        <is>
          <t>PO-03, IAM-02, IAM-05</t>
        </is>
      </c>
      <c r="D12" s="13" t="inlineStr">
        <is>
          <t>Nicole</t>
        </is>
      </c>
    </row>
    <row r="13">
      <c r="A13" s="25" t="inlineStr">
        <is>
          <t>9.3</t>
        </is>
      </c>
      <c r="B13" s="12" t="inlineStr">
        <is>
          <t>Bloqueo al tercer intento, DESBLOQUEO y REINICIO</t>
        </is>
      </c>
      <c r="C13" s="12" t="inlineStr">
        <is>
          <t>IAM-02, IAM-03, IAM-05, PR-02</t>
        </is>
      </c>
      <c r="D13" s="13" t="inlineStr">
        <is>
          <t>Nicole</t>
        </is>
      </c>
    </row>
    <row r="14">
      <c r="A14" s="25" t="inlineStr">
        <is>
          <t>9.3</t>
        </is>
      </c>
      <c r="B14" s="12" t="inlineStr">
        <is>
          <t>Protocolo de encriptación utilizado</t>
        </is>
      </c>
      <c r="C14" s="12" t="inlineStr">
        <is>
          <t>CRY-01, CRY-04, INF-03</t>
        </is>
      </c>
      <c r="D14" s="13" t="inlineStr">
        <is>
          <t>Alvaro</t>
        </is>
      </c>
    </row>
    <row r="15">
      <c r="A15" s="25" t="inlineStr">
        <is>
          <t>9.3</t>
        </is>
      </c>
      <c r="B15" s="12" t="inlineStr">
        <is>
          <t>Uso de gestor de contraseñas para el resguardo</t>
        </is>
      </c>
      <c r="C15" s="12" t="inlineStr">
        <is>
          <t>PWM-01, PR-08</t>
        </is>
      </c>
      <c r="D15" s="13" t="inlineStr">
        <is>
          <t>Favian</t>
        </is>
      </c>
    </row>
    <row r="16">
      <c r="A16" s="25" t="inlineStr">
        <is>
          <t>10</t>
        </is>
      </c>
      <c r="B16" s="12" t="inlineStr">
        <is>
          <t>Segregación de roles</t>
        </is>
      </c>
      <c r="C16" s="12" t="inlineStr">
        <is>
          <t>RBAC-02, PO-02, INF-05</t>
        </is>
      </c>
      <c r="D16" s="13" t="inlineStr">
        <is>
          <t>Franco</t>
        </is>
      </c>
    </row>
    <row r="17">
      <c r="A17" s="25" t="inlineStr">
        <is>
          <t>10</t>
        </is>
      </c>
      <c r="B17" s="12" t="inlineStr">
        <is>
          <t>Mínimo privilegio</t>
        </is>
      </c>
      <c r="C17" s="12" t="inlineStr">
        <is>
          <t>RBAC-01, RBAC-03, HARD-05, INF-05</t>
        </is>
      </c>
      <c r="D17" s="13" t="inlineStr">
        <is>
          <t>Franco</t>
        </is>
      </c>
    </row>
    <row r="18">
      <c r="A18" s="25" t="inlineStr">
        <is>
          <t>10</t>
        </is>
      </c>
      <c r="B18" s="12" t="inlineStr">
        <is>
          <t>Menos asombro</t>
        </is>
      </c>
      <c r="C18" s="12" t="inlineStr">
        <is>
          <t>IAM-06, IAM-03 (mensajes claros), INF-05</t>
        </is>
      </c>
      <c r="D18" s="13" t="inlineStr">
        <is>
          <t>Franco</t>
        </is>
      </c>
    </row>
    <row r="19">
      <c r="A19" s="25" t="inlineStr">
        <is>
          <t>10</t>
        </is>
      </c>
      <c r="B19" s="12" t="inlineStr">
        <is>
          <t>Mecanismo menos común</t>
        </is>
      </c>
      <c r="C19" s="12" t="inlineStr">
        <is>
          <t>HARD-02, HARD-05, PWM-01 (secretos no compartidos), INF-05</t>
        </is>
      </c>
      <c r="D19" s="13" t="inlineStr">
        <is>
          <t>Franco</t>
        </is>
      </c>
    </row>
    <row r="20">
      <c r="A20" s="25" t="inlineStr">
        <is>
          <t>10</t>
        </is>
      </c>
      <c r="B20" s="12" t="inlineStr">
        <is>
          <t>Seguridad por defecto</t>
        </is>
      </c>
      <c r="C20" s="12" t="inlineStr">
        <is>
          <t>RBAC-04, HARD-03, INF-05</t>
        </is>
      </c>
      <c r="D20" s="13" t="inlineStr">
        <is>
          <t>Franco</t>
        </is>
      </c>
    </row>
    <row r="21">
      <c r="A21" s="25" t="inlineStr">
        <is>
          <t>10</t>
        </is>
      </c>
      <c r="B21" s="12" t="inlineStr">
        <is>
          <t>Mediación completa</t>
        </is>
      </c>
      <c r="C21" s="12" t="inlineStr">
        <is>
          <t>HARD-01, HARD-02, RBAC-04, INF-05</t>
        </is>
      </c>
      <c r="D21" s="13" t="inlineStr">
        <is>
          <t>Franco</t>
        </is>
      </c>
    </row>
    <row r="22">
      <c r="A22" s="25" t="inlineStr">
        <is>
          <t>11</t>
        </is>
      </c>
      <c r="B22" s="12" t="inlineStr">
        <is>
          <t>OWASP Top 10: corregir al menos 2 vulnerabilidades</t>
        </is>
      </c>
      <c r="C22" s="12" t="inlineStr">
        <is>
          <t>HARD-01 (A01), HARD-02 (A07), HARD-03 (A05/A08), RBAC-04 (A01), INF-06</t>
        </is>
      </c>
      <c r="D22" s="13" t="inlineStr">
        <is>
          <t>Juanjo</t>
        </is>
      </c>
    </row>
    <row r="23">
      <c r="A23" s="25" t="inlineStr">
        <is>
          <t>12</t>
        </is>
      </c>
      <c r="B23" s="12" t="inlineStr">
        <is>
          <t>Logs de aplicación y logs de usuario (seguridad)</t>
        </is>
      </c>
      <c r="C23" s="12" t="inlineStr">
        <is>
          <t>LOG-01, LOG-02, LOG-03, LOG-04, PO-06, PR-06, INF-07</t>
        </is>
      </c>
      <c r="D23" s="13" t="inlineStr">
        <is>
          <t>Alvaro</t>
        </is>
      </c>
    </row>
    <row r="24">
      <c r="A24" s="25" t="inlineStr">
        <is>
          <t>13</t>
        </is>
      </c>
      <c r="B24" s="12" t="inlineStr">
        <is>
          <t>Corrección de vulnerabilidades del escaneo + reporte de resultados</t>
        </is>
      </c>
      <c r="C24" s="12" t="inlineStr">
        <is>
          <t>VULN-01, HARD-04, VULN-02, PO-07, PR-04, INF-08</t>
        </is>
      </c>
      <c r="D24" s="13" t="inlineStr">
        <is>
          <t>Juanjo</t>
        </is>
      </c>
    </row>
    <row r="25">
      <c r="A25" s="25" t="inlineStr">
        <is>
          <t>14</t>
        </is>
      </c>
      <c r="B25" s="12" t="inlineStr">
        <is>
          <t>Análisis de riesgos: 2 riesgos + 2 indicadores clave de riesgo</t>
        </is>
      </c>
      <c r="C25" s="12" t="inlineStr">
        <is>
          <t>GRC-01, RSK-01</t>
        </is>
      </c>
      <c r="D25" s="13" t="inlineStr">
        <is>
          <t>Alan</t>
        </is>
      </c>
    </row>
    <row r="26">
      <c r="A26" s="25" t="inlineStr">
        <is>
          <t>15</t>
        </is>
      </c>
      <c r="B26" s="12" t="inlineStr">
        <is>
          <t>Módulo de seguridad de información para una necesidad específica (fuera del sistema)</t>
        </is>
      </c>
      <c r="C26" s="12" t="inlineStr">
        <is>
          <t>MOD15-01</t>
        </is>
      </c>
      <c r="D26" s="13" t="inlineStr">
        <is>
          <t>Favian</t>
        </is>
      </c>
    </row>
    <row r="27">
      <c r="A27" s="25" t="inlineStr">
        <is>
          <t>16</t>
        </is>
      </c>
      <c r="B27" s="12" t="inlineStr">
        <is>
          <t>Bibliografía APA</t>
        </is>
      </c>
      <c r="C27" s="12" t="inlineStr">
        <is>
          <t>INF-09</t>
        </is>
      </c>
      <c r="D27" s="13" t="inlineStr">
        <is>
          <t>Alan</t>
        </is>
      </c>
    </row>
    <row r="28">
      <c r="A28" s="25" t="inlineStr">
        <is>
          <t>Entregable</t>
        </is>
      </c>
      <c r="B28" s="12" t="inlineStr">
        <is>
          <t>Documento digital en PDF (ProyNombreGrupo-N.pdf)</t>
        </is>
      </c>
      <c r="C28" s="12" t="inlineStr">
        <is>
          <t>INF-09, ENT-03, ENT-04</t>
        </is>
      </c>
      <c r="D28" s="13" t="inlineStr">
        <is>
          <t>Alan</t>
        </is>
      </c>
    </row>
    <row r="29">
      <c r="A29" s="25" t="inlineStr">
        <is>
          <t>Entregable</t>
        </is>
      </c>
      <c r="B29" s="12" t="inlineStr">
        <is>
          <t>Presentación en PDF, no enlace (PresNombreGrupo-N.pdf)</t>
        </is>
      </c>
      <c r="C29" s="12" t="inlineStr">
        <is>
          <t>ENT-01</t>
        </is>
      </c>
      <c r="D29" s="13" t="inlineStr">
        <is>
          <t>Favian</t>
        </is>
      </c>
    </row>
    <row r="30">
      <c r="A30" s="25" t="inlineStr">
        <is>
          <t>Entregable</t>
        </is>
      </c>
      <c r="B30" s="12" t="inlineStr">
        <is>
          <t>Póster digital (formato de la docente)</t>
        </is>
      </c>
      <c r="C30" s="12" t="inlineStr">
        <is>
          <t>C-02, ENT-02</t>
        </is>
      </c>
      <c r="D30" s="13" t="inlineStr">
        <is>
          <t>Favian</t>
        </is>
      </c>
    </row>
    <row r="31">
      <c r="A31" s="25" t="inlineStr">
        <is>
          <t>Entregable</t>
        </is>
      </c>
      <c r="B31" s="12" t="inlineStr">
        <is>
          <t>Subida al LMS dos días antes de la defensa</t>
        </is>
      </c>
      <c r="C31" s="12" t="inlineStr">
        <is>
          <t>C-02, ENT-03</t>
        </is>
      </c>
      <c r="D31" s="13" t="inlineStr">
        <is>
          <t>Alan</t>
        </is>
      </c>
    </row>
    <row r="32">
      <c r="A32" s="25" t="inlineStr">
        <is>
          <t>Rúbrica 5 pts</t>
        </is>
      </c>
      <c r="B32" s="12" t="inlineStr">
        <is>
          <t>Documento, presentación, póster y enlace al sistema ejecutable</t>
        </is>
      </c>
      <c r="C32" s="12" t="inlineStr">
        <is>
          <t>INF-09, ENT-01, ENT-02, DEP-01</t>
        </is>
      </c>
      <c r="D32" s="13" t="inlineStr">
        <is>
          <t>Juanjo / Alan</t>
        </is>
      </c>
    </row>
    <row r="33">
      <c r="A33" s="25" t="inlineStr">
        <is>
          <t>Rúbrica 35 pts</t>
        </is>
      </c>
      <c r="B33" s="12" t="inlineStr">
        <is>
          <t>Seguridad funcionando: contraseñas, roles, vulnerabilidades, logs</t>
        </is>
      </c>
      <c r="C33" s="12" t="inlineStr">
        <is>
          <t>IAM-*, RBAC-*, HARD-*, LOG-*, C-03</t>
        </is>
      </c>
      <c r="D33" s="13" t="inlineStr">
        <is>
          <t>Nicole</t>
        </is>
      </c>
    </row>
    <row r="34">
      <c r="A34" s="25" t="inlineStr">
        <is>
          <t>Rúbrica 60 pts</t>
        </is>
      </c>
      <c r="B34" s="12" t="inlineStr">
        <is>
          <t>Defensa individual</t>
        </is>
      </c>
      <c r="C34" s="12" t="inlineStr">
        <is>
          <t>C-04 + hoja «Defensa»</t>
        </is>
      </c>
      <c r="D34" s="13" t="inlineStr">
        <is>
          <t>Todos</t>
        </is>
      </c>
    </row>
    <row r="35">
      <c r="A35" s="45" t="inlineStr">
        <is>
          <t>Extra</t>
        </is>
      </c>
      <c r="B35" s="46" t="inlineStr">
        <is>
          <t>Políticas de seguridad</t>
        </is>
      </c>
      <c r="C35" s="46" t="inlineStr">
        <is>
          <t>PO-01 a PO-07</t>
        </is>
      </c>
      <c r="D35" s="47" t="inlineStr">
        <is>
          <t>Varios</t>
        </is>
      </c>
    </row>
    <row r="36">
      <c r="A36" s="45" t="inlineStr">
        <is>
          <t>Extra</t>
        </is>
      </c>
      <c r="B36" s="46" t="inlineStr">
        <is>
          <t>Procedimientos</t>
        </is>
      </c>
      <c r="C36" s="46" t="inlineStr">
        <is>
          <t>PR-01 a PR-08</t>
        </is>
      </c>
      <c r="D36" s="47" t="inlineStr">
        <is>
          <t>Varios</t>
        </is>
      </c>
    </row>
    <row r="37">
      <c r="A37" s="45" t="inlineStr">
        <is>
          <t>Extra</t>
        </is>
      </c>
      <c r="B37" s="46" t="inlineStr">
        <is>
          <t>Formulario de clasificación de la información</t>
        </is>
      </c>
      <c r="C37" s="46" t="inlineStr">
        <is>
          <t>GRC-02</t>
        </is>
      </c>
      <c r="D37" s="47" t="inlineStr">
        <is>
          <t>Favian</t>
        </is>
      </c>
    </row>
    <row r="38">
      <c r="A38" s="45" t="inlineStr">
        <is>
          <t>Extra</t>
        </is>
      </c>
      <c r="B38" s="46" t="inlineStr">
        <is>
          <t>Matriz de clasificación de la información (se llena con el formulario)</t>
        </is>
      </c>
      <c r="C38" s="46" t="inlineStr">
        <is>
          <t>GRC-01, GRC-03</t>
        </is>
      </c>
      <c r="D38" s="47" t="inlineStr">
        <is>
          <t>Favian</t>
        </is>
      </c>
    </row>
    <row r="39">
      <c r="A39" s="45" t="inlineStr">
        <is>
          <t>Extra</t>
        </is>
      </c>
      <c r="B39" s="46" t="inlineStr">
        <is>
          <t>Matriz de roles y accesos</t>
        </is>
      </c>
      <c r="C39" s="46" t="inlineStr">
        <is>
          <t>RBAC-06</t>
        </is>
      </c>
      <c r="D39" s="47" t="inlineStr">
        <is>
          <t>Franco</t>
        </is>
      </c>
    </row>
    <row r="40">
      <c r="A40" s="45" t="inlineStr">
        <is>
          <t>Extra</t>
        </is>
      </c>
      <c r="B40" s="46" t="inlineStr">
        <is>
          <t>Herramienta externa para estandarizar contraseñas y cuentas («keylog» → Keycloak)</t>
        </is>
      </c>
      <c r="C40" s="46" t="inlineStr">
        <is>
          <t>IAM-01, IAM-02, IAM-03, IAM-04, IAM-05, IAM-08</t>
        </is>
      </c>
      <c r="D40" s="47" t="inlineStr">
        <is>
          <t>Nicole</t>
        </is>
      </c>
    </row>
    <row r="41">
      <c r="A41" s="45" t="inlineStr">
        <is>
          <t>Extra</t>
        </is>
      </c>
      <c r="B41" s="46" t="inlineStr">
        <is>
          <t>Tabla de controles ISO 27002:2022</t>
        </is>
      </c>
      <c r="C41" s="46" t="inlineStr">
        <is>
          <t>ISO-01</t>
        </is>
      </c>
      <c r="D41" s="47" t="inlineStr">
        <is>
          <t>Alan</t>
        </is>
      </c>
    </row>
    <row r="42">
      <c r="A42" s="45" t="inlineStr">
        <is>
          <t>Extra</t>
        </is>
      </c>
      <c r="B42" s="46" t="inlineStr">
        <is>
          <t>Tabla de controles ISO 27002:2013</t>
        </is>
      </c>
      <c r="C42" s="46" t="inlineStr">
        <is>
          <t>ISO-02</t>
        </is>
      </c>
      <c r="D42" s="47" t="inlineStr">
        <is>
          <t>Alan</t>
        </is>
      </c>
    </row>
    <row r="43">
      <c r="A43" s="45" t="inlineStr">
        <is>
          <t>Extra</t>
        </is>
      </c>
      <c r="B43" s="46" t="inlineStr">
        <is>
          <t>Fichas de evaluación de brechas</t>
        </is>
      </c>
      <c r="C43" s="46" t="inlineStr">
        <is>
          <t>ISO-03</t>
        </is>
      </c>
      <c r="D43" s="47" t="inlineStr">
        <is>
          <t>Alan</t>
        </is>
      </c>
    </row>
    <row r="44">
      <c r="A44" s="45" t="inlineStr">
        <is>
          <t>Extra</t>
        </is>
      </c>
      <c r="B44" s="46" t="inlineStr">
        <is>
          <t>Criptografía: uso de métodos seguros</t>
        </is>
      </c>
      <c r="C44" s="46" t="inlineStr">
        <is>
          <t>CRY-01, CRY-04, PO-05</t>
        </is>
      </c>
      <c r="D44" s="47" t="inlineStr">
        <is>
          <t>Alvaro</t>
        </is>
      </c>
    </row>
    <row r="45">
      <c r="A45" s="45" t="inlineStr">
        <is>
          <t>Extra</t>
        </is>
      </c>
      <c r="B45" s="46" t="inlineStr">
        <is>
          <t>Integridad de archivos por hash y checksum aplicada a MedicalSys</t>
        </is>
      </c>
      <c r="C45" s="46" t="inlineStr">
        <is>
          <t>CRY-02, CRY-03, PR-05</t>
        </is>
      </c>
      <c r="D45" s="47" t="inlineStr">
        <is>
          <t>Alvaro</t>
        </is>
      </c>
    </row>
  </sheetData>
  <pageMargins left="0.75" right="0.75" top="1" bottom="1" header="0.5" footer="0.5"/>
</worksheet>
</file>

<file path=xl/worksheets/sheet7.xml><?xml version="1.0" encoding="utf-8"?>
<worksheet xmlns="http://schemas.openxmlformats.org/spreadsheetml/2006/main">
  <sheetPr>
    <tabColor rgb="0095A2B3"/>
    <outlinePr summaryBelow="1" summaryRight="1"/>
    <pageSetUpPr/>
  </sheetPr>
  <dimension ref="A1:I34"/>
  <sheetViews>
    <sheetView showGridLines="0" workbookViewId="0">
      <pane ySplit="4" topLeftCell="A5" activePane="bottomLeft" state="frozen"/>
      <selection pane="bottomLeft" activeCell="A1" sqref="A1"/>
    </sheetView>
  </sheetViews>
  <sheetFormatPr baseColWidth="8" defaultRowHeight="15"/>
  <cols>
    <col width="10" customWidth="1" min="1" max="1"/>
    <col width="52" customWidth="1" min="2" max="2"/>
    <col width="16" customWidth="1" min="3" max="3"/>
    <col width="10" customWidth="1" min="4" max="4"/>
    <col width="34" customWidth="1" min="5" max="5"/>
    <col width="18" customWidth="1" min="6" max="6"/>
    <col width="14" customWidth="1" min="7" max="7"/>
    <col width="12" customWidth="1" min="8" max="8"/>
    <col width="13" customWidth="1" min="9" max="9"/>
  </cols>
  <sheetData>
    <row r="1">
      <c r="A1" s="1" t="inlineStr">
        <is>
          <t>Catálogo de documentos a producir</t>
        </is>
      </c>
    </row>
    <row r="2">
      <c r="A2" s="2" t="inlineStr">
        <is>
          <t>Responsable, vencimiento y estado se calculan desde la hoja Tareas (no editar aquí). Guardar cada archivo en la carpeta indicada.</t>
        </is>
      </c>
    </row>
    <row r="4">
      <c r="A4" s="10" t="inlineStr">
        <is>
          <t>Código</t>
        </is>
      </c>
      <c r="B4" s="10" t="inlineStr">
        <is>
          <t>Documento</t>
        </is>
      </c>
      <c r="C4" s="10" t="inlineStr">
        <is>
          <t>Tipo</t>
        </is>
      </c>
      <c r="D4" s="10" t="inlineStr">
        <is>
          <t>Tarea</t>
        </is>
      </c>
      <c r="E4" s="10" t="inlineStr">
        <is>
          <t>Archivo sugerido</t>
        </is>
      </c>
      <c r="F4" s="10" t="inlineStr">
        <is>
          <t>Carpeta</t>
        </is>
      </c>
      <c r="G4" s="10" t="inlineStr">
        <is>
          <t>Responsable</t>
        </is>
      </c>
      <c r="H4" s="10" t="inlineStr">
        <is>
          <t>Vence</t>
        </is>
      </c>
      <c r="I4" s="10" t="inlineStr">
        <is>
          <t>Estado</t>
        </is>
      </c>
    </row>
    <row r="5">
      <c r="A5" s="25" t="inlineStr">
        <is>
          <t>PO-01</t>
        </is>
      </c>
      <c r="B5" s="12" t="inlineStr">
        <is>
          <t>Política general de seguridad de la información</t>
        </is>
      </c>
      <c r="C5" s="13" t="inlineStr">
        <is>
          <t>Política</t>
        </is>
      </c>
      <c r="D5" s="13" t="inlineStr">
        <is>
          <t>PO-01</t>
        </is>
      </c>
      <c r="E5" s="12" t="inlineStr">
        <is>
          <t>PO-01_Politica_General_SI.docx</t>
        </is>
      </c>
      <c r="F5" s="12" t="inlineStr">
        <is>
          <t>02-Políticas</t>
        </is>
      </c>
      <c r="G5" s="13">
        <f>IFERROR(INDEX(Tareas!$D$5:$D$77,MATCH($D5,Tareas!$A$5:$A$77,0)),"")</f>
        <v/>
      </c>
      <c r="H5" s="28">
        <f>IFERROR(INDEX(Tareas!$J$5:$J$77,MATCH($D5,Tareas!$A$5:$A$77,0)),"")</f>
        <v/>
      </c>
      <c r="I5" s="13">
        <f>IFERROR(INDEX(Tareas!$S$5:$S$77,MATCH($D5,Tareas!$A$5:$A$77,0)),"")</f>
        <v/>
      </c>
    </row>
    <row r="6">
      <c r="A6" s="25" t="inlineStr">
        <is>
          <t>PO-02</t>
        </is>
      </c>
      <c r="B6" s="12" t="inlineStr">
        <is>
          <t>Política de control de acceso</t>
        </is>
      </c>
      <c r="C6" s="13" t="inlineStr">
        <is>
          <t>Política</t>
        </is>
      </c>
      <c r="D6" s="13" t="inlineStr">
        <is>
          <t>PO-02</t>
        </is>
      </c>
      <c r="E6" s="12" t="inlineStr">
        <is>
          <t>PO-02_Control_Acceso.docx</t>
        </is>
      </c>
      <c r="F6" s="12" t="inlineStr">
        <is>
          <t>02-Políticas</t>
        </is>
      </c>
      <c r="G6" s="13">
        <f>IFERROR(INDEX(Tareas!$D$5:$D$77,MATCH($D6,Tareas!$A$5:$A$77,0)),"")</f>
        <v/>
      </c>
      <c r="H6" s="28">
        <f>IFERROR(INDEX(Tareas!$J$5:$J$77,MATCH($D6,Tareas!$A$5:$A$77,0)),"")</f>
        <v/>
      </c>
      <c r="I6" s="13">
        <f>IFERROR(INDEX(Tareas!$S$5:$S$77,MATCH($D6,Tareas!$A$5:$A$77,0)),"")</f>
        <v/>
      </c>
    </row>
    <row r="7">
      <c r="A7" s="25" t="inlineStr">
        <is>
          <t>PO-03</t>
        </is>
      </c>
      <c r="B7" s="12" t="inlineStr">
        <is>
          <t>Política de contraseñas y autenticación</t>
        </is>
      </c>
      <c r="C7" s="13" t="inlineStr">
        <is>
          <t>Política</t>
        </is>
      </c>
      <c r="D7" s="13" t="inlineStr">
        <is>
          <t>PO-03</t>
        </is>
      </c>
      <c r="E7" s="12" t="inlineStr">
        <is>
          <t>PO-03_Contrasenas.docx</t>
        </is>
      </c>
      <c r="F7" s="12" t="inlineStr">
        <is>
          <t>02-Políticas</t>
        </is>
      </c>
      <c r="G7" s="13">
        <f>IFERROR(INDEX(Tareas!$D$5:$D$77,MATCH($D7,Tareas!$A$5:$A$77,0)),"")</f>
        <v/>
      </c>
      <c r="H7" s="28">
        <f>IFERROR(INDEX(Tareas!$J$5:$J$77,MATCH($D7,Tareas!$A$5:$A$77,0)),"")</f>
        <v/>
      </c>
      <c r="I7" s="13">
        <f>IFERROR(INDEX(Tareas!$S$5:$S$77,MATCH($D7,Tareas!$A$5:$A$77,0)),"")</f>
        <v/>
      </c>
    </row>
    <row r="8">
      <c r="A8" s="25" t="inlineStr">
        <is>
          <t>PO-04</t>
        </is>
      </c>
      <c r="B8" s="12" t="inlineStr">
        <is>
          <t>Política de clasificación y manejo de la información</t>
        </is>
      </c>
      <c r="C8" s="13" t="inlineStr">
        <is>
          <t>Política</t>
        </is>
      </c>
      <c r="D8" s="13" t="inlineStr">
        <is>
          <t>PO-04</t>
        </is>
      </c>
      <c r="E8" s="12" t="inlineStr">
        <is>
          <t>PO-04_Clasificacion.docx</t>
        </is>
      </c>
      <c r="F8" s="12" t="inlineStr">
        <is>
          <t>02-Políticas</t>
        </is>
      </c>
      <c r="G8" s="13">
        <f>IFERROR(INDEX(Tareas!$D$5:$D$77,MATCH($D8,Tareas!$A$5:$A$77,0)),"")</f>
        <v/>
      </c>
      <c r="H8" s="28">
        <f>IFERROR(INDEX(Tareas!$J$5:$J$77,MATCH($D8,Tareas!$A$5:$A$77,0)),"")</f>
        <v/>
      </c>
      <c r="I8" s="13">
        <f>IFERROR(INDEX(Tareas!$S$5:$S$77,MATCH($D8,Tareas!$A$5:$A$77,0)),"")</f>
        <v/>
      </c>
    </row>
    <row r="9">
      <c r="A9" s="25" t="inlineStr">
        <is>
          <t>PO-05</t>
        </is>
      </c>
      <c r="B9" s="12" t="inlineStr">
        <is>
          <t>Política criptográfica y de gestión de claves</t>
        </is>
      </c>
      <c r="C9" s="13" t="inlineStr">
        <is>
          <t>Política</t>
        </is>
      </c>
      <c r="D9" s="13" t="inlineStr">
        <is>
          <t>PO-05</t>
        </is>
      </c>
      <c r="E9" s="12" t="inlineStr">
        <is>
          <t>PO-05_Criptografia.docx</t>
        </is>
      </c>
      <c r="F9" s="12" t="inlineStr">
        <is>
          <t>02-Políticas</t>
        </is>
      </c>
      <c r="G9" s="13">
        <f>IFERROR(INDEX(Tareas!$D$5:$D$77,MATCH($D9,Tareas!$A$5:$A$77,0)),"")</f>
        <v/>
      </c>
      <c r="H9" s="28">
        <f>IFERROR(INDEX(Tareas!$J$5:$J$77,MATCH($D9,Tareas!$A$5:$A$77,0)),"")</f>
        <v/>
      </c>
      <c r="I9" s="13">
        <f>IFERROR(INDEX(Tareas!$S$5:$S$77,MATCH($D9,Tareas!$A$5:$A$77,0)),"")</f>
        <v/>
      </c>
    </row>
    <row r="10">
      <c r="A10" s="25" t="inlineStr">
        <is>
          <t>PO-06</t>
        </is>
      </c>
      <c r="B10" s="12" t="inlineStr">
        <is>
          <t>Política de registro y monitoreo (logs)</t>
        </is>
      </c>
      <c r="C10" s="13" t="inlineStr">
        <is>
          <t>Política</t>
        </is>
      </c>
      <c r="D10" s="13" t="inlineStr">
        <is>
          <t>PO-06</t>
        </is>
      </c>
      <c r="E10" s="12" t="inlineStr">
        <is>
          <t>PO-06_Logs.docx</t>
        </is>
      </c>
      <c r="F10" s="12" t="inlineStr">
        <is>
          <t>02-Políticas</t>
        </is>
      </c>
      <c r="G10" s="13">
        <f>IFERROR(INDEX(Tareas!$D$5:$D$77,MATCH($D10,Tareas!$A$5:$A$77,0)),"")</f>
        <v/>
      </c>
      <c r="H10" s="28">
        <f>IFERROR(INDEX(Tareas!$J$5:$J$77,MATCH($D10,Tareas!$A$5:$A$77,0)),"")</f>
        <v/>
      </c>
      <c r="I10" s="13">
        <f>IFERROR(INDEX(Tareas!$S$5:$S$77,MATCH($D10,Tareas!$A$5:$A$77,0)),"")</f>
        <v/>
      </c>
    </row>
    <row r="11">
      <c r="A11" s="25" t="inlineStr">
        <is>
          <t>PO-07</t>
        </is>
      </c>
      <c r="B11" s="12" t="inlineStr">
        <is>
          <t>Política de gestión de vulnerabilidades y desarrollo seguro</t>
        </is>
      </c>
      <c r="C11" s="13" t="inlineStr">
        <is>
          <t>Política</t>
        </is>
      </c>
      <c r="D11" s="13" t="inlineStr">
        <is>
          <t>PO-07</t>
        </is>
      </c>
      <c r="E11" s="12" t="inlineStr">
        <is>
          <t>PO-07_Vulnerabilidades.docx</t>
        </is>
      </c>
      <c r="F11" s="12" t="inlineStr">
        <is>
          <t>02-Políticas</t>
        </is>
      </c>
      <c r="G11" s="13">
        <f>IFERROR(INDEX(Tareas!$D$5:$D$77,MATCH($D11,Tareas!$A$5:$A$77,0)),"")</f>
        <v/>
      </c>
      <c r="H11" s="28">
        <f>IFERROR(INDEX(Tareas!$J$5:$J$77,MATCH($D11,Tareas!$A$5:$A$77,0)),"")</f>
        <v/>
      </c>
      <c r="I11" s="13">
        <f>IFERROR(INDEX(Tareas!$S$5:$S$77,MATCH($D11,Tareas!$A$5:$A$77,0)),"")</f>
        <v/>
      </c>
    </row>
    <row r="12">
      <c r="A12" s="25" t="inlineStr">
        <is>
          <t>PR-01</t>
        </is>
      </c>
      <c r="B12" s="12" t="inlineStr">
        <is>
          <t>Procedimiento de ABM de usuarios</t>
        </is>
      </c>
      <c r="C12" s="13" t="inlineStr">
        <is>
          <t>Procedimiento</t>
        </is>
      </c>
      <c r="D12" s="13" t="inlineStr">
        <is>
          <t>PR-01</t>
        </is>
      </c>
      <c r="E12" s="12" t="inlineStr">
        <is>
          <t>PR-01_ABM_Usuarios.docx</t>
        </is>
      </c>
      <c r="F12" s="12" t="inlineStr">
        <is>
          <t>03-Procedimientos</t>
        </is>
      </c>
      <c r="G12" s="13">
        <f>IFERROR(INDEX(Tareas!$D$5:$D$77,MATCH($D12,Tareas!$A$5:$A$77,0)),"")</f>
        <v/>
      </c>
      <c r="H12" s="28">
        <f>IFERROR(INDEX(Tareas!$J$5:$J$77,MATCH($D12,Tareas!$A$5:$A$77,0)),"")</f>
        <v/>
      </c>
      <c r="I12" s="13">
        <f>IFERROR(INDEX(Tareas!$S$5:$S$77,MATCH($D12,Tareas!$A$5:$A$77,0)),"")</f>
        <v/>
      </c>
    </row>
    <row r="13">
      <c r="A13" s="25" t="inlineStr">
        <is>
          <t>PR-02</t>
        </is>
      </c>
      <c r="B13" s="12" t="inlineStr">
        <is>
          <t>Procedimiento de desbloqueo y reinicio de contraseña</t>
        </is>
      </c>
      <c r="C13" s="13" t="inlineStr">
        <is>
          <t>Procedimiento</t>
        </is>
      </c>
      <c r="D13" s="13" t="inlineStr">
        <is>
          <t>PR-02</t>
        </is>
      </c>
      <c r="E13" s="12" t="inlineStr">
        <is>
          <t>PR-02_Desbloqueo_Reinicio.docx</t>
        </is>
      </c>
      <c r="F13" s="12" t="inlineStr">
        <is>
          <t>03-Procedimientos</t>
        </is>
      </c>
      <c r="G13" s="13">
        <f>IFERROR(INDEX(Tareas!$D$5:$D$77,MATCH($D13,Tareas!$A$5:$A$77,0)),"")</f>
        <v/>
      </c>
      <c r="H13" s="28">
        <f>IFERROR(INDEX(Tareas!$J$5:$J$77,MATCH($D13,Tareas!$A$5:$A$77,0)),"")</f>
        <v/>
      </c>
      <c r="I13" s="13">
        <f>IFERROR(INDEX(Tareas!$S$5:$S$77,MATCH($D13,Tareas!$A$5:$A$77,0)),"")</f>
        <v/>
      </c>
    </row>
    <row r="14">
      <c r="A14" s="25" t="inlineStr">
        <is>
          <t>PR-03</t>
        </is>
      </c>
      <c r="B14" s="12" t="inlineStr">
        <is>
          <t>Procedimiento de asignación/revocación de roles y revisión de accesos</t>
        </is>
      </c>
      <c r="C14" s="13" t="inlineStr">
        <is>
          <t>Procedimiento</t>
        </is>
      </c>
      <c r="D14" s="13" t="inlineStr">
        <is>
          <t>PR-03</t>
        </is>
      </c>
      <c r="E14" s="12" t="inlineStr">
        <is>
          <t>PR-03_Roles.docx</t>
        </is>
      </c>
      <c r="F14" s="12" t="inlineStr">
        <is>
          <t>03-Procedimientos</t>
        </is>
      </c>
      <c r="G14" s="13">
        <f>IFERROR(INDEX(Tareas!$D$5:$D$77,MATCH($D14,Tareas!$A$5:$A$77,0)),"")</f>
        <v/>
      </c>
      <c r="H14" s="28">
        <f>IFERROR(INDEX(Tareas!$J$5:$J$77,MATCH($D14,Tareas!$A$5:$A$77,0)),"")</f>
        <v/>
      </c>
      <c r="I14" s="13">
        <f>IFERROR(INDEX(Tareas!$S$5:$S$77,MATCH($D14,Tareas!$A$5:$A$77,0)),"")</f>
        <v/>
      </c>
    </row>
    <row r="15">
      <c r="A15" s="25" t="inlineStr">
        <is>
          <t>PR-04</t>
        </is>
      </c>
      <c r="B15" s="12" t="inlineStr">
        <is>
          <t>Procedimiento de gestión de vulnerabilidades</t>
        </is>
      </c>
      <c r="C15" s="13" t="inlineStr">
        <is>
          <t>Procedimiento</t>
        </is>
      </c>
      <c r="D15" s="13" t="inlineStr">
        <is>
          <t>PR-04</t>
        </is>
      </c>
      <c r="E15" s="12" t="inlineStr">
        <is>
          <t>PR-04_Vulnerabilidades.docx</t>
        </is>
      </c>
      <c r="F15" s="12" t="inlineStr">
        <is>
          <t>03-Procedimientos</t>
        </is>
      </c>
      <c r="G15" s="13">
        <f>IFERROR(INDEX(Tareas!$D$5:$D$77,MATCH($D15,Tareas!$A$5:$A$77,0)),"")</f>
        <v/>
      </c>
      <c r="H15" s="28">
        <f>IFERROR(INDEX(Tareas!$J$5:$J$77,MATCH($D15,Tareas!$A$5:$A$77,0)),"")</f>
        <v/>
      </c>
      <c r="I15" s="13">
        <f>IFERROR(INDEX(Tareas!$S$5:$S$77,MATCH($D15,Tareas!$A$5:$A$77,0)),"")</f>
        <v/>
      </c>
    </row>
    <row r="16">
      <c r="A16" s="25" t="inlineStr">
        <is>
          <t>PR-05</t>
        </is>
      </c>
      <c r="B16" s="12" t="inlineStr">
        <is>
          <t>Procedimiento de verificación de integridad (hash/checksum)</t>
        </is>
      </c>
      <c r="C16" s="13" t="inlineStr">
        <is>
          <t>Procedimiento</t>
        </is>
      </c>
      <c r="D16" s="13" t="inlineStr">
        <is>
          <t>PR-05</t>
        </is>
      </c>
      <c r="E16" s="12" t="inlineStr">
        <is>
          <t>PR-05_Integridad.docx</t>
        </is>
      </c>
      <c r="F16" s="12" t="inlineStr">
        <is>
          <t>03-Procedimientos</t>
        </is>
      </c>
      <c r="G16" s="13">
        <f>IFERROR(INDEX(Tareas!$D$5:$D$77,MATCH($D16,Tareas!$A$5:$A$77,0)),"")</f>
        <v/>
      </c>
      <c r="H16" s="28">
        <f>IFERROR(INDEX(Tareas!$J$5:$J$77,MATCH($D16,Tareas!$A$5:$A$77,0)),"")</f>
        <v/>
      </c>
      <c r="I16" s="13">
        <f>IFERROR(INDEX(Tareas!$S$5:$S$77,MATCH($D16,Tareas!$A$5:$A$77,0)),"")</f>
        <v/>
      </c>
    </row>
    <row r="17">
      <c r="A17" s="25" t="inlineStr">
        <is>
          <t>PR-06</t>
        </is>
      </c>
      <c r="B17" s="12" t="inlineStr">
        <is>
          <t>Procedimiento de revisión de logs y respuesta a eventos</t>
        </is>
      </c>
      <c r="C17" s="13" t="inlineStr">
        <is>
          <t>Procedimiento</t>
        </is>
      </c>
      <c r="D17" s="13" t="inlineStr">
        <is>
          <t>PR-06</t>
        </is>
      </c>
      <c r="E17" s="12" t="inlineStr">
        <is>
          <t>PR-06_Revision_Logs.docx</t>
        </is>
      </c>
      <c r="F17" s="12" t="inlineStr">
        <is>
          <t>03-Procedimientos</t>
        </is>
      </c>
      <c r="G17" s="13">
        <f>IFERROR(INDEX(Tareas!$D$5:$D$77,MATCH($D17,Tareas!$A$5:$A$77,0)),"")</f>
        <v/>
      </c>
      <c r="H17" s="28">
        <f>IFERROR(INDEX(Tareas!$J$5:$J$77,MATCH($D17,Tareas!$A$5:$A$77,0)),"")</f>
        <v/>
      </c>
      <c r="I17" s="13">
        <f>IFERROR(INDEX(Tareas!$S$5:$S$77,MATCH($D17,Tareas!$A$5:$A$77,0)),"")</f>
        <v/>
      </c>
    </row>
    <row r="18">
      <c r="A18" s="25" t="inlineStr">
        <is>
          <t>PR-07</t>
        </is>
      </c>
      <c r="B18" s="12" t="inlineStr">
        <is>
          <t>Procedimiento de clasificación y etiquetado</t>
        </is>
      </c>
      <c r="C18" s="13" t="inlineStr">
        <is>
          <t>Procedimiento</t>
        </is>
      </c>
      <c r="D18" s="13" t="inlineStr">
        <is>
          <t>PR-07</t>
        </is>
      </c>
      <c r="E18" s="12" t="inlineStr">
        <is>
          <t>PR-07_Clasificacion.docx</t>
        </is>
      </c>
      <c r="F18" s="12" t="inlineStr">
        <is>
          <t>03-Procedimientos</t>
        </is>
      </c>
      <c r="G18" s="13">
        <f>IFERROR(INDEX(Tareas!$D$5:$D$77,MATCH($D18,Tareas!$A$5:$A$77,0)),"")</f>
        <v/>
      </c>
      <c r="H18" s="28">
        <f>IFERROR(INDEX(Tareas!$J$5:$J$77,MATCH($D18,Tareas!$A$5:$A$77,0)),"")</f>
        <v/>
      </c>
      <c r="I18" s="13">
        <f>IFERROR(INDEX(Tareas!$S$5:$S$77,MATCH($D18,Tareas!$A$5:$A$77,0)),"")</f>
        <v/>
      </c>
    </row>
    <row r="19">
      <c r="A19" s="25" t="inlineStr">
        <is>
          <t>PR-08</t>
        </is>
      </c>
      <c r="B19" s="12" t="inlineStr">
        <is>
          <t>Procedimiento de resguardo de contraseñas y rotación de secretos</t>
        </is>
      </c>
      <c r="C19" s="13" t="inlineStr">
        <is>
          <t>Procedimiento</t>
        </is>
      </c>
      <c r="D19" s="13" t="inlineStr">
        <is>
          <t>PR-08</t>
        </is>
      </c>
      <c r="E19" s="12" t="inlineStr">
        <is>
          <t>PR-08_Resguardo_Secretos.docx</t>
        </is>
      </c>
      <c r="F19" s="12" t="inlineStr">
        <is>
          <t>03-Procedimientos</t>
        </is>
      </c>
      <c r="G19" s="13">
        <f>IFERROR(INDEX(Tareas!$D$5:$D$77,MATCH($D19,Tareas!$A$5:$A$77,0)),"")</f>
        <v/>
      </c>
      <c r="H19" s="28">
        <f>IFERROR(INDEX(Tareas!$J$5:$J$77,MATCH($D19,Tareas!$A$5:$A$77,0)),"")</f>
        <v/>
      </c>
      <c r="I19" s="13">
        <f>IFERROR(INDEX(Tareas!$S$5:$S$77,MATCH($D19,Tareas!$A$5:$A$77,0)),"")</f>
        <v/>
      </c>
    </row>
    <row r="20">
      <c r="A20" s="25" t="inlineStr">
        <is>
          <t>MAT-01</t>
        </is>
      </c>
      <c r="B20" s="12" t="inlineStr">
        <is>
          <t>Inventario de activos de información</t>
        </is>
      </c>
      <c r="C20" s="13" t="inlineStr">
        <is>
          <t>Matriz</t>
        </is>
      </c>
      <c r="D20" s="13" t="inlineStr">
        <is>
          <t>GRC-01</t>
        </is>
      </c>
      <c r="E20" s="12" t="inlineStr">
        <is>
          <t>Inventario_Activos.xlsx</t>
        </is>
      </c>
      <c r="F20" s="12" t="inlineStr">
        <is>
          <t>04-Matrices</t>
        </is>
      </c>
      <c r="G20" s="13">
        <f>IFERROR(INDEX(Tareas!$D$5:$D$77,MATCH($D20,Tareas!$A$5:$A$77,0)),"")</f>
        <v/>
      </c>
      <c r="H20" s="28">
        <f>IFERROR(INDEX(Tareas!$J$5:$J$77,MATCH($D20,Tareas!$A$5:$A$77,0)),"")</f>
        <v/>
      </c>
      <c r="I20" s="13">
        <f>IFERROR(INDEX(Tareas!$S$5:$S$77,MATCH($D20,Tareas!$A$5:$A$77,0)),"")</f>
        <v/>
      </c>
    </row>
    <row r="21">
      <c r="A21" s="25" t="inlineStr">
        <is>
          <t>FOR-01</t>
        </is>
      </c>
      <c r="B21" s="12" t="inlineStr">
        <is>
          <t>Formulario de clasificación de la información</t>
        </is>
      </c>
      <c r="C21" s="13" t="inlineStr">
        <is>
          <t>Formulario</t>
        </is>
      </c>
      <c r="D21" s="13" t="inlineStr">
        <is>
          <t>GRC-02</t>
        </is>
      </c>
      <c r="E21" s="12" t="inlineStr">
        <is>
          <t>Formulario_Clasificacion</t>
        </is>
      </c>
      <c r="F21" s="12" t="inlineStr">
        <is>
          <t>04-Matrices</t>
        </is>
      </c>
      <c r="G21" s="13">
        <f>IFERROR(INDEX(Tareas!$D$5:$D$77,MATCH($D21,Tareas!$A$5:$A$77,0)),"")</f>
        <v/>
      </c>
      <c r="H21" s="28">
        <f>IFERROR(INDEX(Tareas!$J$5:$J$77,MATCH($D21,Tareas!$A$5:$A$77,0)),"")</f>
        <v/>
      </c>
      <c r="I21" s="13">
        <f>IFERROR(INDEX(Tareas!$S$5:$S$77,MATCH($D21,Tareas!$A$5:$A$77,0)),"")</f>
        <v/>
      </c>
    </row>
    <row r="22">
      <c r="A22" s="25" t="inlineStr">
        <is>
          <t>MAT-02</t>
        </is>
      </c>
      <c r="B22" s="12" t="inlineStr">
        <is>
          <t>Matriz de clasificación de la información</t>
        </is>
      </c>
      <c r="C22" s="13" t="inlineStr">
        <is>
          <t>Matriz</t>
        </is>
      </c>
      <c r="D22" s="13" t="inlineStr">
        <is>
          <t>GRC-03</t>
        </is>
      </c>
      <c r="E22" s="12" t="inlineStr">
        <is>
          <t>Matriz_Clasificacion.xlsx</t>
        </is>
      </c>
      <c r="F22" s="12" t="inlineStr">
        <is>
          <t>04-Matrices</t>
        </is>
      </c>
      <c r="G22" s="13">
        <f>IFERROR(INDEX(Tareas!$D$5:$D$77,MATCH($D22,Tareas!$A$5:$A$77,0)),"")</f>
        <v/>
      </c>
      <c r="H22" s="28">
        <f>IFERROR(INDEX(Tareas!$J$5:$J$77,MATCH($D22,Tareas!$A$5:$A$77,0)),"")</f>
        <v/>
      </c>
      <c r="I22" s="13">
        <f>IFERROR(INDEX(Tareas!$S$5:$S$77,MATCH($D22,Tareas!$A$5:$A$77,0)),"")</f>
        <v/>
      </c>
    </row>
    <row r="23">
      <c r="A23" s="25" t="inlineStr">
        <is>
          <t>MAT-03</t>
        </is>
      </c>
      <c r="B23" s="12" t="inlineStr">
        <is>
          <t>Matriz de roles y accesos</t>
        </is>
      </c>
      <c r="C23" s="13" t="inlineStr">
        <is>
          <t>Matriz</t>
        </is>
      </c>
      <c r="D23" s="13" t="inlineStr">
        <is>
          <t>RBAC-06</t>
        </is>
      </c>
      <c r="E23" s="12" t="inlineStr">
        <is>
          <t>Matriz_Roles_Accesos.xlsx</t>
        </is>
      </c>
      <c r="F23" s="12" t="inlineStr">
        <is>
          <t>04-Matrices</t>
        </is>
      </c>
      <c r="G23" s="13">
        <f>IFERROR(INDEX(Tareas!$D$5:$D$77,MATCH($D23,Tareas!$A$5:$A$77,0)),"")</f>
        <v/>
      </c>
      <c r="H23" s="28">
        <f>IFERROR(INDEX(Tareas!$J$5:$J$77,MATCH($D23,Tareas!$A$5:$A$77,0)),"")</f>
        <v/>
      </c>
      <c r="I23" s="13">
        <f>IFERROR(INDEX(Tareas!$S$5:$S$77,MATCH($D23,Tareas!$A$5:$A$77,0)),"")</f>
        <v/>
      </c>
    </row>
    <row r="24">
      <c r="A24" s="25" t="inlineStr">
        <is>
          <t>MAT-04</t>
        </is>
      </c>
      <c r="B24" s="12" t="inlineStr">
        <is>
          <t>Inventario criptográfico</t>
        </is>
      </c>
      <c r="C24" s="13" t="inlineStr">
        <is>
          <t>Matriz</t>
        </is>
      </c>
      <c r="D24" s="13" t="inlineStr">
        <is>
          <t>CRY-01</t>
        </is>
      </c>
      <c r="E24" s="12" t="inlineStr">
        <is>
          <t>Inventario_Criptografico.xlsx</t>
        </is>
      </c>
      <c r="F24" s="12" t="inlineStr">
        <is>
          <t>04-Matrices</t>
        </is>
      </c>
      <c r="G24" s="13">
        <f>IFERROR(INDEX(Tareas!$D$5:$D$77,MATCH($D24,Tareas!$A$5:$A$77,0)),"")</f>
        <v/>
      </c>
      <c r="H24" s="28">
        <f>IFERROR(INDEX(Tareas!$J$5:$J$77,MATCH($D24,Tareas!$A$5:$A$77,0)),"")</f>
        <v/>
      </c>
      <c r="I24" s="13">
        <f>IFERROR(INDEX(Tareas!$S$5:$S$77,MATCH($D24,Tareas!$A$5:$A$77,0)),"")</f>
        <v/>
      </c>
    </row>
    <row r="25">
      <c r="A25" s="25" t="inlineStr">
        <is>
          <t>ISO-22</t>
        </is>
      </c>
      <c r="B25" s="12" t="inlineStr">
        <is>
          <t>Tabla de controles ISO/IEC 27002:2022 (93)</t>
        </is>
      </c>
      <c r="C25" s="13" t="inlineStr">
        <is>
          <t>Tabla ISO</t>
        </is>
      </c>
      <c r="D25" s="13" t="inlineStr">
        <is>
          <t>ISO-01</t>
        </is>
      </c>
      <c r="E25" s="12" t="inlineStr">
        <is>
          <t>ISO27002_2022_Controles.xlsx</t>
        </is>
      </c>
      <c r="F25" s="12" t="inlineStr">
        <is>
          <t>05-ISO27002</t>
        </is>
      </c>
      <c r="G25" s="13">
        <f>IFERROR(INDEX(Tareas!$D$5:$D$77,MATCH($D25,Tareas!$A$5:$A$77,0)),"")</f>
        <v/>
      </c>
      <c r="H25" s="28">
        <f>IFERROR(INDEX(Tareas!$J$5:$J$77,MATCH($D25,Tareas!$A$5:$A$77,0)),"")</f>
        <v/>
      </c>
      <c r="I25" s="13">
        <f>IFERROR(INDEX(Tareas!$S$5:$S$77,MATCH($D25,Tareas!$A$5:$A$77,0)),"")</f>
        <v/>
      </c>
    </row>
    <row r="26">
      <c r="A26" s="25" t="inlineStr">
        <is>
          <t>ISO-13</t>
        </is>
      </c>
      <c r="B26" s="12" t="inlineStr">
        <is>
          <t>Tabla de controles ISO/IEC 27002:2013 (114) + mapeo</t>
        </is>
      </c>
      <c r="C26" s="13" t="inlineStr">
        <is>
          <t>Tabla ISO</t>
        </is>
      </c>
      <c r="D26" s="13" t="inlineStr">
        <is>
          <t>ISO-02</t>
        </is>
      </c>
      <c r="E26" s="12" t="inlineStr">
        <is>
          <t>ISO27002_2013_Controles.xlsx</t>
        </is>
      </c>
      <c r="F26" s="12" t="inlineStr">
        <is>
          <t>05-ISO27002</t>
        </is>
      </c>
      <c r="G26" s="13">
        <f>IFERROR(INDEX(Tareas!$D$5:$D$77,MATCH($D26,Tareas!$A$5:$A$77,0)),"")</f>
        <v/>
      </c>
      <c r="H26" s="28">
        <f>IFERROR(INDEX(Tareas!$J$5:$J$77,MATCH($D26,Tareas!$A$5:$A$77,0)),"")</f>
        <v/>
      </c>
      <c r="I26" s="13">
        <f>IFERROR(INDEX(Tareas!$S$5:$S$77,MATCH($D26,Tareas!$A$5:$A$77,0)),"")</f>
        <v/>
      </c>
    </row>
    <row r="27">
      <c r="A27" s="25" t="inlineStr">
        <is>
          <t>BRE-01</t>
        </is>
      </c>
      <c r="B27" s="12" t="inlineStr">
        <is>
          <t>Fichas de evaluación de brechas</t>
        </is>
      </c>
      <c r="C27" s="13" t="inlineStr">
        <is>
          <t>Ficha</t>
        </is>
      </c>
      <c r="D27" s="13" t="inlineStr">
        <is>
          <t>ISO-03</t>
        </is>
      </c>
      <c r="E27" s="12" t="inlineStr">
        <is>
          <t>Fichas_Brechas.docx</t>
        </is>
      </c>
      <c r="F27" s="12" t="inlineStr">
        <is>
          <t>06-Brechas</t>
        </is>
      </c>
      <c r="G27" s="13">
        <f>IFERROR(INDEX(Tareas!$D$5:$D$77,MATCH($D27,Tareas!$A$5:$A$77,0)),"")</f>
        <v/>
      </c>
      <c r="H27" s="28">
        <f>IFERROR(INDEX(Tareas!$J$5:$J$77,MATCH($D27,Tareas!$A$5:$A$77,0)),"")</f>
        <v/>
      </c>
      <c r="I27" s="13">
        <f>IFERROR(INDEX(Tareas!$S$5:$S$77,MATCH($D27,Tareas!$A$5:$A$77,0)),"")</f>
        <v/>
      </c>
    </row>
    <row r="28">
      <c r="A28" s="25" t="inlineStr">
        <is>
          <t>RSK-01</t>
        </is>
      </c>
      <c r="B28" s="12" t="inlineStr">
        <is>
          <t>Análisis de riesgos y KRIs</t>
        </is>
      </c>
      <c r="C28" s="13" t="inlineStr">
        <is>
          <t>Análisis</t>
        </is>
      </c>
      <c r="D28" s="13" t="inlineStr">
        <is>
          <t>RSK-01</t>
        </is>
      </c>
      <c r="E28" s="12" t="inlineStr">
        <is>
          <t>Matriz_Riesgos.xlsx</t>
        </is>
      </c>
      <c r="F28" s="12" t="inlineStr">
        <is>
          <t>07-Riesgos</t>
        </is>
      </c>
      <c r="G28" s="13">
        <f>IFERROR(INDEX(Tareas!$D$5:$D$77,MATCH($D28,Tareas!$A$5:$A$77,0)),"")</f>
        <v/>
      </c>
      <c r="H28" s="28">
        <f>IFERROR(INDEX(Tareas!$J$5:$J$77,MATCH($D28,Tareas!$A$5:$A$77,0)),"")</f>
        <v/>
      </c>
      <c r="I28" s="13">
        <f>IFERROR(INDEX(Tareas!$S$5:$S$77,MATCH($D28,Tareas!$A$5:$A$77,0)),"")</f>
        <v/>
      </c>
    </row>
    <row r="29">
      <c r="A29" s="25" t="inlineStr">
        <is>
          <t>ESC-01</t>
        </is>
      </c>
      <c r="B29" s="12" t="inlineStr">
        <is>
          <t>Reportes de escaneo «antes»</t>
        </is>
      </c>
      <c r="C29" s="13" t="inlineStr">
        <is>
          <t>Reporte</t>
        </is>
      </c>
      <c r="D29" s="13" t="inlineStr">
        <is>
          <t>VULN-01</t>
        </is>
      </c>
      <c r="E29" s="12" t="inlineStr">
        <is>
          <t>docs/seguridad/escaneos/antes/</t>
        </is>
      </c>
      <c r="F29" s="12" t="inlineStr">
        <is>
          <t>08-Escaneos</t>
        </is>
      </c>
      <c r="G29" s="13">
        <f>IFERROR(INDEX(Tareas!$D$5:$D$77,MATCH($D29,Tareas!$A$5:$A$77,0)),"")</f>
        <v/>
      </c>
      <c r="H29" s="28">
        <f>IFERROR(INDEX(Tareas!$J$5:$J$77,MATCH($D29,Tareas!$A$5:$A$77,0)),"")</f>
        <v/>
      </c>
      <c r="I29" s="13">
        <f>IFERROR(INDEX(Tareas!$S$5:$S$77,MATCH($D29,Tareas!$A$5:$A$77,0)),"")</f>
        <v/>
      </c>
    </row>
    <row r="30">
      <c r="A30" s="25" t="inlineStr">
        <is>
          <t>ESC-02</t>
        </is>
      </c>
      <c r="B30" s="12" t="inlineStr">
        <is>
          <t>Reportes de escaneo «después» + comparativa</t>
        </is>
      </c>
      <c r="C30" s="13" t="inlineStr">
        <is>
          <t>Reporte</t>
        </is>
      </c>
      <c r="D30" s="13" t="inlineStr">
        <is>
          <t>VULN-02</t>
        </is>
      </c>
      <c r="E30" s="12" t="inlineStr">
        <is>
          <t>docs/seguridad/escaneos/despues/</t>
        </is>
      </c>
      <c r="F30" s="12" t="inlineStr">
        <is>
          <t>08-Escaneos</t>
        </is>
      </c>
      <c r="G30" s="13">
        <f>IFERROR(INDEX(Tareas!$D$5:$D$77,MATCH($D30,Tareas!$A$5:$A$77,0)),"")</f>
        <v/>
      </c>
      <c r="H30" s="28">
        <f>IFERROR(INDEX(Tareas!$J$5:$J$77,MATCH($D30,Tareas!$A$5:$A$77,0)),"")</f>
        <v/>
      </c>
      <c r="I30" s="13">
        <f>IFERROR(INDEX(Tareas!$S$5:$S$77,MATCH($D30,Tareas!$A$5:$A$77,0)),"")</f>
        <v/>
      </c>
    </row>
    <row r="31">
      <c r="A31" s="25" t="inlineStr">
        <is>
          <t>SUM-01</t>
        </is>
      </c>
      <c r="B31" s="12" t="inlineStr">
        <is>
          <t>SHA256SUMS de artefactos y entregables</t>
        </is>
      </c>
      <c r="C31" s="13" t="inlineStr">
        <is>
          <t>Integridad</t>
        </is>
      </c>
      <c r="D31" s="13" t="inlineStr">
        <is>
          <t>CRY-03</t>
        </is>
      </c>
      <c r="E31" s="12" t="inlineStr">
        <is>
          <t>SHA256SUMS</t>
        </is>
      </c>
      <c r="F31" s="12" t="inlineStr">
        <is>
          <t>01-Informe</t>
        </is>
      </c>
      <c r="G31" s="13">
        <f>IFERROR(INDEX(Tareas!$D$5:$D$77,MATCH($D31,Tareas!$A$5:$A$77,0)),"")</f>
        <v/>
      </c>
      <c r="H31" s="28">
        <f>IFERROR(INDEX(Tareas!$J$5:$J$77,MATCH($D31,Tareas!$A$5:$A$77,0)),"")</f>
        <v/>
      </c>
      <c r="I31" s="13">
        <f>IFERROR(INDEX(Tareas!$S$5:$S$77,MATCH($D31,Tareas!$A$5:$A$77,0)),"")</f>
        <v/>
      </c>
    </row>
    <row r="32">
      <c r="A32" s="25" t="inlineStr">
        <is>
          <t>INF</t>
        </is>
      </c>
      <c r="B32" s="12" t="inlineStr">
        <is>
          <t>Informe del proyecto (entrega 1)</t>
        </is>
      </c>
      <c r="C32" s="13" t="inlineStr">
        <is>
          <t>Informe</t>
        </is>
      </c>
      <c r="D32" s="13" t="inlineStr">
        <is>
          <t>INF-09</t>
        </is>
      </c>
      <c r="E32" s="12" t="inlineStr">
        <is>
          <t>ProyNombreGrupo-1.pdf</t>
        </is>
      </c>
      <c r="F32" s="12" t="inlineStr">
        <is>
          <t>01-Informe</t>
        </is>
      </c>
      <c r="G32" s="13">
        <f>IFERROR(INDEX(Tareas!$D$5:$D$77,MATCH($D32,Tareas!$A$5:$A$77,0)),"")</f>
        <v/>
      </c>
      <c r="H32" s="28">
        <f>IFERROR(INDEX(Tareas!$J$5:$J$77,MATCH($D32,Tareas!$A$5:$A$77,0)),"")</f>
        <v/>
      </c>
      <c r="I32" s="13">
        <f>IFERROR(INDEX(Tareas!$S$5:$S$77,MATCH($D32,Tareas!$A$5:$A$77,0)),"")</f>
        <v/>
      </c>
    </row>
    <row r="33">
      <c r="A33" s="25" t="inlineStr">
        <is>
          <t>PRES</t>
        </is>
      </c>
      <c r="B33" s="12" t="inlineStr">
        <is>
          <t>Presentación (entrega 1)</t>
        </is>
      </c>
      <c r="C33" s="13" t="inlineStr">
        <is>
          <t>Presentación</t>
        </is>
      </c>
      <c r="D33" s="13" t="inlineStr">
        <is>
          <t>ENT-01</t>
        </is>
      </c>
      <c r="E33" s="12" t="inlineStr">
        <is>
          <t>PresNombreGrupo-1.pdf</t>
        </is>
      </c>
      <c r="F33" s="12" t="inlineStr">
        <is>
          <t>10-Presentación-Póster</t>
        </is>
      </c>
      <c r="G33" s="13">
        <f>IFERROR(INDEX(Tareas!$D$5:$D$77,MATCH($D33,Tareas!$A$5:$A$77,0)),"")</f>
        <v/>
      </c>
      <c r="H33" s="28">
        <f>IFERROR(INDEX(Tareas!$J$5:$J$77,MATCH($D33,Tareas!$A$5:$A$77,0)),"")</f>
        <v/>
      </c>
      <c r="I33" s="13">
        <f>IFERROR(INDEX(Tareas!$S$5:$S$77,MATCH($D33,Tareas!$A$5:$A$77,0)),"")</f>
        <v/>
      </c>
    </row>
    <row r="34">
      <c r="A34" s="25" t="inlineStr">
        <is>
          <t>POS</t>
        </is>
      </c>
      <c r="B34" s="12" t="inlineStr">
        <is>
          <t>Póster digital</t>
        </is>
      </c>
      <c r="C34" s="13" t="inlineStr">
        <is>
          <t>Póster</t>
        </is>
      </c>
      <c r="D34" s="13" t="inlineStr">
        <is>
          <t>ENT-02</t>
        </is>
      </c>
      <c r="E34" s="12" t="inlineStr">
        <is>
          <t>Poster_NombreGrupo.pdf</t>
        </is>
      </c>
      <c r="F34" s="12" t="inlineStr">
        <is>
          <t>10-Presentación-Póster</t>
        </is>
      </c>
      <c r="G34" s="13">
        <f>IFERROR(INDEX(Tareas!$D$5:$D$77,MATCH($D34,Tareas!$A$5:$A$77,0)),"")</f>
        <v/>
      </c>
      <c r="H34" s="28">
        <f>IFERROR(INDEX(Tareas!$J$5:$J$77,MATCH($D34,Tareas!$A$5:$A$77,0)),"")</f>
        <v/>
      </c>
      <c r="I34" s="13">
        <f>IFERROR(INDEX(Tareas!$S$5:$S$77,MATCH($D34,Tareas!$A$5:$A$77,0)),"")</f>
        <v/>
      </c>
    </row>
  </sheetData>
  <conditionalFormatting sqref="I5:I34">
    <cfRule type="cellIs" priority="1" operator="equal" dxfId="0">
      <formula>"Hecha"</formula>
    </cfRule>
    <cfRule type="cellIs" priority="2" operator="equal" dxfId="1">
      <formula>"En curso"</formula>
    </cfRule>
    <cfRule type="cellIs" priority="3" operator="equal" dxfId="2">
      <formula>"Bloqueada"</formula>
    </cfRule>
    <cfRule type="cellIs" priority="4" operator="equal" dxfId="3">
      <formula>"En revisión"</formula>
    </cfRule>
  </conditionalFormatting>
  <pageMargins left="0.75" right="0.75" top="1" bottom="1" header="0.5" footer="0.5"/>
</worksheet>
</file>

<file path=xl/worksheets/sheet8.xml><?xml version="1.0" encoding="utf-8"?>
<worksheet xmlns="http://schemas.openxmlformats.org/spreadsheetml/2006/main">
  <sheetPr>
    <tabColor rgb="0095A2B3"/>
    <outlinePr summaryBelow="1" summaryRight="1"/>
    <pageSetUpPr/>
  </sheetPr>
  <dimension ref="A1:E25"/>
  <sheetViews>
    <sheetView showGridLines="0" workbookViewId="0">
      <selection activeCell="A1" sqref="A1"/>
    </sheetView>
  </sheetViews>
  <sheetFormatPr baseColWidth="8" defaultRowHeight="15"/>
  <cols>
    <col width="30" customWidth="1" min="1" max="1"/>
    <col width="62" customWidth="1" min="2" max="2"/>
    <col width="34" customWidth="1" min="3" max="3"/>
    <col width="12" customWidth="1" min="4" max="4"/>
    <col width="40" customWidth="1" min="5" max="5"/>
  </cols>
  <sheetData>
    <row r="1">
      <c r="A1" s="1" t="inlineStr">
        <is>
          <t>Decisiones del kickoff (sáb 10, 9:00)</t>
        </is>
      </c>
    </row>
    <row r="2">
      <c r="A2" s="2" t="inlineStr">
        <is>
          <t>Columna amarilla = completar en la reunión. Las propuestas ya vienen cargadas para decidir rápido.</t>
        </is>
      </c>
    </row>
    <row r="4">
      <c r="A4" s="10" t="inlineStr">
        <is>
          <t>Tema</t>
        </is>
      </c>
      <c r="B4" s="10" t="inlineStr">
        <is>
          <t>Propuesta</t>
        </is>
      </c>
      <c r="C4" s="10" t="inlineStr">
        <is>
          <t>Decisión final</t>
        </is>
      </c>
      <c r="D4" s="10" t="inlineStr">
        <is>
          <t>Tarea</t>
        </is>
      </c>
      <c r="E4" s="10" t="inlineStr">
        <is>
          <t>Justificación / nota</t>
        </is>
      </c>
    </row>
    <row r="5" ht="42" customHeight="1">
      <c r="A5" s="21" t="inlineStr">
        <is>
          <t>Longitud de contraseña</t>
        </is>
      </c>
      <c r="B5" s="12" t="inlineStr">
        <is>
          <t>Mínimo 12, máximo 64 caracteres</t>
        </is>
      </c>
      <c r="C5" s="30" t="inlineStr"/>
      <c r="D5" s="12" t="inlineStr">
        <is>
          <t>IAM-02, PO-03</t>
        </is>
      </c>
      <c r="E5" s="12" t="inlineStr">
        <is>
          <t>La longitud aporta más entropía que la complejidad (NIST SP 800-63B).</t>
        </is>
      </c>
    </row>
    <row r="6" ht="42" customHeight="1">
      <c r="A6" s="21" t="inlineStr">
        <is>
          <t>Complejidad</t>
        </is>
      </c>
      <c r="B6" s="12" t="inlineStr">
        <is>
          <t>Al menos 1 mayúscula, 1 minúscula, 1 dígito y 1 carácter especial; no puede contener el usuario ni el correo</t>
        </is>
      </c>
      <c r="C6" s="30" t="inlineStr"/>
      <c r="D6" s="12" t="inlineStr">
        <is>
          <t>IAM-02, PO-03</t>
        </is>
      </c>
      <c r="E6" s="12" t="inlineStr">
        <is>
          <t>Lo exige el punto 9.3 del PDF.</t>
        </is>
      </c>
    </row>
    <row r="7" ht="42" customHeight="1">
      <c r="A7" s="21" t="inlineStr">
        <is>
          <t>Vida útil</t>
        </is>
      </c>
      <c r="B7" s="12" t="inlineStr">
        <is>
          <t>90 días (cambio forzado al vencer)</t>
        </is>
      </c>
      <c r="C7" s="30" t="inlineStr"/>
      <c r="D7" s="12" t="inlineStr">
        <is>
          <t>IAM-02, PO-03</t>
        </is>
      </c>
      <c r="E7" s="12" t="inlineStr">
        <is>
          <t>Lo exige el PDF. Matiz para la defensa: NIST ya no recomienda la expiración periódica salvo sospecha de compromiso.</t>
        </is>
      </c>
    </row>
    <row r="8" ht="42" customHeight="1">
      <c r="A8" s="21" t="inlineStr">
        <is>
          <t>Histórico</t>
        </is>
      </c>
      <c r="B8" s="12" t="inlineStr">
        <is>
          <t>No reutilizar las últimas 5</t>
        </is>
      </c>
      <c r="C8" s="30" t="inlineStr"/>
      <c r="D8" s="12" t="inlineStr">
        <is>
          <t>IAM-02, PO-03</t>
        </is>
      </c>
      <c r="E8" s="12" t="inlineStr"/>
    </row>
    <row r="9" ht="42" customHeight="1">
      <c r="A9" s="21" t="inlineStr">
        <is>
          <t>Bloqueo</t>
        </is>
      </c>
      <c r="B9" s="12" t="inlineStr">
        <is>
          <t>Al 3er intento fallido; bloqueo permanente hasta que lo desbloquee un administrador</t>
        </is>
      </c>
      <c r="C9" s="30" t="inlineStr"/>
      <c r="D9" s="12" t="inlineStr">
        <is>
          <t>IAM-02, PO-03</t>
        </is>
      </c>
      <c r="E9" s="12" t="inlineStr">
        <is>
          <t>El PDF pide «bloqueo al tercer intento, DESBLOQUEO».</t>
        </is>
      </c>
    </row>
    <row r="10" ht="42" customHeight="1">
      <c r="A10" s="21" t="inlineStr">
        <is>
          <t>Reinicio</t>
        </is>
      </c>
      <c r="B10" s="12" t="inlineStr">
        <is>
          <t>Contraseña temporal + cambio obligatorio en el primer inicio de sesión</t>
        </is>
      </c>
      <c r="C10" s="30" t="inlineStr"/>
      <c r="D10" s="12" t="inlineStr">
        <is>
          <t>IAM-05, PR-02</t>
        </is>
      </c>
      <c r="E10" s="12" t="inlineStr"/>
    </row>
    <row r="11" ht="42" customHeight="1">
      <c r="A11" s="21" t="inlineStr">
        <is>
          <t>Almacenamiento</t>
        </is>
      </c>
      <c r="B11" s="12" t="inlineStr">
        <is>
          <t>Argon2id (Keycloak) + TLS en tránsito</t>
        </is>
      </c>
      <c r="C11" s="30" t="inlineStr"/>
      <c r="D11" s="12" t="inlineStr">
        <is>
          <t>IAM-02, CRY-01</t>
        </is>
      </c>
      <c r="E11" s="12" t="inlineStr">
        <is>
          <t>Función memory-hard y con sal, resistente a GPU.</t>
        </is>
      </c>
    </row>
    <row r="12" ht="42" customHeight="1">
      <c r="A12" s="21" t="inlineStr">
        <is>
          <t>Formato del User ID</t>
        </is>
      </c>
      <c r="B12" s="12" t="inlineStr">
        <is>
          <t>MS-AA-NNNNN (ej. MS-26-00001): prefijo, año de alta, correlativo; único, inmutable, nunca reutilizado, independiente del rol</t>
        </is>
      </c>
      <c r="C12" s="30" t="inlineStr"/>
      <c r="D12" s="12" t="inlineStr">
        <is>
          <t>IAM-04</t>
        </is>
      </c>
      <c r="E12" s="12" t="inlineStr">
        <is>
          <t>Si el código dependiera del rol, cambiaría al cambiar de rol y se perdería la trazabilidad.</t>
        </is>
      </c>
    </row>
    <row r="13" ht="42" customHeight="1">
      <c r="A13" s="21" t="inlineStr">
        <is>
          <t>Herramienta externa de identidad</t>
        </is>
      </c>
      <c r="B13" s="12" t="inlineStr">
        <is>
          <t>Keycloak (lo que llamaron «keylog»): IAM open source con políticas de contraseñas, bloqueo por fuerza bruta y passkeys</t>
        </is>
      </c>
      <c r="C13" s="30" t="inlineStr"/>
      <c r="D13" s="12" t="inlineStr">
        <is>
          <t>IAM-01</t>
        </is>
      </c>
      <c r="E13" s="12" t="inlineStr">
        <is>
          <t>Un keylogger es malware: no confundir los nombres en el informe.</t>
        </is>
      </c>
    </row>
    <row r="14" ht="42" customHeight="1">
      <c r="A14" s="21" t="inlineStr">
        <is>
          <t>Gestor de contraseñas (resguardo)</t>
        </is>
      </c>
      <c r="B14" s="12" t="inlineStr">
        <is>
          <t>KeePassXC (bóveda cifrada AES-256/ChaCha20 + Argon2 + archivo llave)</t>
        </is>
      </c>
      <c r="C14" s="30" t="inlineStr"/>
      <c r="D14" s="12" t="inlineStr">
        <is>
          <t>PWM-01</t>
        </is>
      </c>
      <c r="E14" s="12" t="inlineStr">
        <is>
          <t>Sin servidor, gratis y suficiente para 6 personas. Alternativa: Bitwarden.</t>
        </is>
      </c>
    </row>
    <row r="15" ht="42" customHeight="1">
      <c r="A15" s="21" t="inlineStr">
        <is>
          <t>Tema del módulo 15</t>
        </is>
      </c>
      <c r="B15" s="12" t="inlineStr">
        <is>
          <t>Herramienta automatizada de clasificación de activos (formulario → nivel → matriz → dashboard)</t>
        </is>
      </c>
      <c r="C15" s="30" t="inlineStr"/>
      <c r="D15" s="12" t="inlineStr">
        <is>
          <t>MOD15-01</t>
        </is>
      </c>
      <c r="E15" s="12" t="inlineStr">
        <is>
          <t>Reutiliza GRC-01/02/03. Alternativa: evaluador de cumplimiento ISO 27002.</t>
        </is>
      </c>
    </row>
    <row r="16" ht="42" customHeight="1">
      <c r="A16" s="21" t="inlineStr">
        <is>
          <t>Nombre del grupo en los archivos</t>
        </is>
      </c>
      <c r="B16" s="12" t="inlineStr">
        <is>
          <t>ProyLos6Siniestros-1.pdf / PresLos6Siniestros-1.pdf</t>
        </is>
      </c>
      <c r="C16" s="30" t="inlineStr"/>
      <c r="D16" s="12" t="inlineStr">
        <is>
          <t>INF-09, ENT-01</t>
        </is>
      </c>
      <c r="E16" s="12" t="inlineStr">
        <is>
          <t>Confirmar el nombre oficial del grupo ante la docente.</t>
        </is>
      </c>
    </row>
    <row r="17" ht="42" customHeight="1">
      <c r="A17" s="21" t="inlineStr">
        <is>
          <t>Carpeta compartida</t>
        </is>
      </c>
      <c r="B17" s="12" t="inlineStr">
        <is>
          <t>Google Drive «SIS321-MedicalSys» con 01-Informe … 10-Presentación-Póster</t>
        </is>
      </c>
      <c r="C17" s="30" t="inlineStr"/>
      <c r="D17" s="12" t="inlineStr">
        <is>
          <t>GRC-00</t>
        </is>
      </c>
      <c r="E17" s="12" t="inlineStr"/>
    </row>
    <row r="18" ht="42" customHeight="1">
      <c r="A18" s="21" t="inlineStr">
        <is>
          <t>Convención de ramas</t>
        </is>
      </c>
      <c r="B18" s="12" t="inlineStr">
        <is>
          <t>seg/&lt;ID&gt;-descripcion → PR a develop con revisión cruzada</t>
        </is>
      </c>
      <c r="C18" s="30" t="inlineStr"/>
      <c r="D18" s="12" t="inlineStr">
        <is>
          <t>C-03</t>
        </is>
      </c>
      <c r="E18" s="12" t="inlineStr"/>
    </row>
    <row r="19" ht="42" customHeight="1">
      <c r="A19" s="21" t="inlineStr">
        <is>
          <t>Dailies</t>
        </is>
      </c>
      <c r="B19" s="12" t="inlineStr">
        <is>
          <t>9:00 y 21:00, 15 minutos</t>
        </is>
      </c>
      <c r="C19" s="30" t="inlineStr"/>
      <c r="D19" s="12" t="inlineStr">
        <is>
          <t>C-01</t>
        </is>
      </c>
      <c r="E19" s="12" t="inlineStr"/>
    </row>
    <row r="20" ht="42" customHeight="1">
      <c r="A20" s="21" t="inlineStr">
        <is>
          <t>Prioridad frente a DoggyCredit S3</t>
        </is>
      </c>
      <c r="B20" s="12" t="inlineStr">
        <is>
          <t>Horas por día para cada proyecto: a definir</t>
        </is>
      </c>
      <c r="C20" s="30" t="inlineStr"/>
      <c r="D20" s="12" t="inlineStr">
        <is>
          <t>C-01</t>
        </is>
      </c>
      <c r="E20" s="12" t="inlineStr">
        <is>
          <t>El mismo equipo tiene ese sprint hasta el martes 13.</t>
        </is>
      </c>
    </row>
    <row r="21" ht="42" customHeight="1">
      <c r="A21" s="21" t="inlineStr">
        <is>
          <t>¿El martes es la defensa? (docente)</t>
        </is>
      </c>
      <c r="B21" s="12" t="inlineStr"/>
      <c r="C21" s="30" t="inlineStr"/>
      <c r="D21" s="12" t="inlineStr">
        <is>
          <t>C-02</t>
        </is>
      </c>
      <c r="E21" s="12" t="inlineStr">
        <is>
          <t>Si lo es, la entrega 1 se sube al LMS el domingo 11.</t>
        </is>
      </c>
    </row>
    <row r="22" ht="42" customHeight="1">
      <c r="A22" s="21" t="inlineStr">
        <is>
          <t>Formato del póster (docente)</t>
        </is>
      </c>
      <c r="B22" s="12" t="inlineStr"/>
      <c r="C22" s="30" t="inlineStr"/>
      <c r="D22" s="12" t="inlineStr">
        <is>
          <t>C-02</t>
        </is>
      </c>
      <c r="E22" s="12" t="inlineStr"/>
    </row>
    <row r="23" ht="42" customHeight="1">
      <c r="A23" s="21" t="inlineStr">
        <is>
          <t>Versión ISO 27002 esperada (docente)</t>
        </is>
      </c>
      <c r="B23" s="12" t="inlineStr">
        <is>
          <t>Hacemos ambas: 2022 completa y 2013 vía mapeo</t>
        </is>
      </c>
      <c r="C23" s="30" t="inlineStr"/>
      <c r="D23" s="12" t="inlineStr">
        <is>
          <t>C-02</t>
        </is>
      </c>
      <c r="E23" s="12" t="inlineStr"/>
    </row>
    <row r="25">
      <c r="A25" s="24" t="inlineStr">
        <is>
          <t>Ejemplo de llenado</t>
        </is>
      </c>
      <c r="C25" s="24" t="inlineStr">
        <is>
          <t>«Aprobado tal cual» o el valor acordado, p. ej. «12 caracteres»</t>
        </is>
      </c>
    </row>
  </sheetData>
  <pageMargins left="0.75" right="0.75" top="1" bottom="1" header="0.5" footer="0.5"/>
</worksheet>
</file>

<file path=xl/worksheets/sheet9.xml><?xml version="1.0" encoding="utf-8"?>
<worksheet xmlns="http://schemas.openxmlformats.org/spreadsheetml/2006/main">
  <sheetPr>
    <tabColor rgb="0095A2B3"/>
    <outlinePr summaryBelow="1" summaryRight="1"/>
    <pageSetUpPr/>
  </sheetPr>
  <dimension ref="A1:F34"/>
  <sheetViews>
    <sheetView showGridLines="0" workbookViewId="0">
      <pane ySplit="4" topLeftCell="A5" activePane="bottomLeft" state="frozen"/>
      <selection pane="bottomLeft" activeCell="A1" sqref="A1"/>
    </sheetView>
  </sheetViews>
  <sheetFormatPr baseColWidth="8" defaultRowHeight="15"/>
  <cols>
    <col width="5" customWidth="1" min="1" max="1"/>
    <col width="18" customWidth="1" min="2" max="2"/>
    <col width="55" customWidth="1" min="3" max="3"/>
    <col width="70" customWidth="1" min="4" max="4"/>
    <col width="12" customWidth="1" min="5" max="5"/>
    <col width="12" customWidth="1" min="6" max="6"/>
  </cols>
  <sheetData>
    <row r="1">
      <c r="A1" s="1" t="inlineStr">
        <is>
          <t>Banco de preguntas para la defensa individual (60 % de la nota)</t>
        </is>
      </c>
    </row>
    <row r="2">
      <c r="A2" s="2" t="inlineStr">
        <is>
          <t>Todos deben poder responder TODAS. El «experto» prepara la respuesta modelo y la explica al resto en el ensayo (C-04).</t>
        </is>
      </c>
    </row>
    <row r="4">
      <c r="A4" s="10" t="inlineStr">
        <is>
          <t>N°</t>
        </is>
      </c>
      <c r="B4" s="10" t="inlineStr">
        <is>
          <t>Tema</t>
        </is>
      </c>
      <c r="C4" s="10" t="inlineStr">
        <is>
          <t>Pregunta</t>
        </is>
      </c>
      <c r="D4" s="10" t="inlineStr">
        <is>
          <t>Puntos clave de la respuesta</t>
        </is>
      </c>
      <c r="E4" s="10" t="inlineStr">
        <is>
          <t>Experto</t>
        </is>
      </c>
      <c r="F4" s="10" t="inlineStr">
        <is>
          <t>¿Dominada?</t>
        </is>
      </c>
    </row>
    <row r="5" ht="75" customHeight="1">
      <c r="A5" s="13" t="n">
        <v>1</v>
      </c>
      <c r="B5" s="12" t="inlineStr">
        <is>
          <t>Principios</t>
        </is>
      </c>
      <c r="C5" s="21" t="inlineStr">
        <is>
          <t>¿Qué es la mediación completa y cómo la violaba MedicalSys?</t>
        </is>
      </c>
      <c r="D5" s="12" t="inlineStr">
        <is>
          <t>Todo acceso a todo recurso se verifica siempre. Antes: los microservicios publicaban sus puertos y confiaban en X-Roles/X-Organization-Id, así que con un curl directo se saltaba el gateway; además, el logout no revocaba el token fuera de identidad. Corrección: red interna (HARD-01) y verificación del jti en el gateway (HARD-02).</t>
        </is>
      </c>
      <c r="E5" s="13" t="inlineStr">
        <is>
          <t>Juanjo</t>
        </is>
      </c>
      <c r="F5" s="29" t="inlineStr"/>
    </row>
    <row r="6" ht="75" customHeight="1">
      <c r="A6" s="13" t="n">
        <v>2</v>
      </c>
      <c r="B6" s="12" t="inlineStr">
        <is>
          <t>Principios</t>
        </is>
      </c>
      <c r="C6" s="21" t="inlineStr">
        <is>
          <t>Seguridad por defecto (fail-safe defaults): da 2 ejemplos del sistema.</t>
        </is>
      </c>
      <c r="D6" s="12" t="inlineStr">
        <is>
          <t>El interceptor permitía los endpoints sin anotación y ahora los deniega (RBAC-04). El webhook no verificaba la firma si faltaba el secreto y ahora el servicio no arranca (HARD-03). Usuarios demo apagados por defecto.</t>
        </is>
      </c>
      <c r="E6" s="13" t="inlineStr">
        <is>
          <t>Franco</t>
        </is>
      </c>
      <c r="F6" s="29" t="inlineStr"/>
    </row>
    <row r="7" ht="75" customHeight="1">
      <c r="A7" s="13" t="n">
        <v>3</v>
      </c>
      <c r="B7" s="12" t="inlineStr">
        <is>
          <t>Principios</t>
        </is>
      </c>
      <c r="C7" s="21" t="inlineStr">
        <is>
          <t>Mínimo privilegio vs segregación de roles: ¿en qué se diferencian?</t>
        </is>
      </c>
      <c r="D7" s="12" t="inlineStr">
        <is>
          <t>Mínimo privilegio: cada sujeto tiene solo los permisos necesarios (permisos granulares por funcionalidad). Segregación: una tarea crítica requiere a más de una persona o rol (nadie se asigna permisos a sí mismo; el acceso a otro tenant necesita la solicitud de la clínica y el OTP del paciente).</t>
        </is>
      </c>
      <c r="E7" s="13" t="inlineStr">
        <is>
          <t>Franco</t>
        </is>
      </c>
      <c r="F7" s="29" t="inlineStr"/>
    </row>
    <row r="8" ht="75" customHeight="1">
      <c r="A8" s="13" t="n">
        <v>4</v>
      </c>
      <c r="B8" s="12" t="inlineStr">
        <is>
          <t>Principios</t>
        </is>
      </c>
      <c r="C8" s="21" t="inlineStr">
        <is>
          <t>¿Qué es el «menos asombro» (aceptabilidad psicológica) y dónde se aplicó?</t>
        </is>
      </c>
      <c r="D8" s="12" t="inlineStr">
        <is>
          <t>La seguridad no debe sorprender ni estorbar al usuario, o este la evade. Un único login, mensajes claros cuando la contraseña no cumple la política, bloqueo explicado y desbloqueo por el administrador.</t>
        </is>
      </c>
      <c r="E8" s="13" t="inlineStr">
        <is>
          <t>Nicole</t>
        </is>
      </c>
      <c r="F8" s="29" t="inlineStr"/>
    </row>
    <row r="9" ht="75" customHeight="1">
      <c r="A9" s="13" t="n">
        <v>5</v>
      </c>
      <c r="B9" s="12" t="inlineStr">
        <is>
          <t>Principios</t>
        </is>
      </c>
      <c r="C9" s="21" t="inlineStr">
        <is>
          <t>¿Qué es el «mecanismo menos común» y qué se compartía de más?</t>
        </is>
      </c>
      <c r="D9" s="12" t="inlineStr">
        <is>
          <t>Minimizar los mecanismos compartidos entre usuarios o componentes. Se compartían el mismo usuario de BD para 13 servicios, el secreto JWT con el gateway y un único secreto de servicio. Mejoras: un usuario de BD por servicio (HARD-05), secretos rotados en la bóveda y una DEK por tenant.</t>
        </is>
      </c>
      <c r="E9" s="13" t="inlineStr">
        <is>
          <t>Juanjo</t>
        </is>
      </c>
      <c r="F9" s="29" t="inlineStr"/>
    </row>
    <row r="10" ht="75" customHeight="1">
      <c r="A10" s="13" t="n">
        <v>6</v>
      </c>
      <c r="B10" s="12" t="inlineStr">
        <is>
          <t>Principios</t>
        </is>
      </c>
      <c r="C10" s="21" t="inlineStr">
        <is>
          <t>Nombra los 8 principios de Saltzer y Schroeder (1975).</t>
        </is>
      </c>
      <c r="D10" s="12" t="inlineStr">
        <is>
          <t>Economía del mecanismo, valores por defecto seguros, mediación completa, diseño abierto, separación de privilegios, mínimo privilegio, mínimo mecanismo común y aceptabilidad psicológica (+ factor de trabajo y registro de compromisos).</t>
        </is>
      </c>
      <c r="E10" s="13" t="inlineStr">
        <is>
          <t>Franco</t>
        </is>
      </c>
      <c r="F10" s="29" t="inlineStr"/>
    </row>
    <row r="11" ht="75" customHeight="1">
      <c r="A11" s="13" t="n">
        <v>7</v>
      </c>
      <c r="B11" s="12" t="inlineStr">
        <is>
          <t>Contraseñas</t>
        </is>
      </c>
      <c r="C11" s="21" t="inlineStr">
        <is>
          <t>¿Por qué Argon2id y no SHA-256 para guardar contraseñas?</t>
        </is>
      </c>
      <c r="D11" s="12" t="inlineStr">
        <is>
          <t>SHA-256 es rápido: una GPU prueba miles de millones por segundo. Argon2id es lento a propósito, memory-hard (encarece GPU/ASIC) y usa sal por usuario contra las tablas arcoíris.</t>
        </is>
      </c>
      <c r="E11" s="13" t="inlineStr">
        <is>
          <t>Nicole</t>
        </is>
      </c>
      <c r="F11" s="29" t="inlineStr"/>
    </row>
    <row r="12" ht="75" customHeight="1">
      <c r="A12" s="13" t="n">
        <v>8</v>
      </c>
      <c r="B12" s="12" t="inlineStr">
        <is>
          <t>Contraseñas</t>
        </is>
      </c>
      <c r="C12" s="21" t="inlineStr">
        <is>
          <t>Explica cada regla de la política y su justificación.</t>
        </is>
      </c>
      <c r="D12" s="12" t="inlineStr">
        <is>
          <t>Longitud ≥ 12 (entropía), complejidad (exigida por el curso), 90 días (exigido; NIST lo desaconseja salvo compromiso), historial de 5 (evita rotar entre dos contraseñas), bloqueo al 3er intento (fuerza bruta online), desbloqueo por el administrador (verifica la identidad).</t>
        </is>
      </c>
      <c r="E12" s="13" t="inlineStr">
        <is>
          <t>Nicole</t>
        </is>
      </c>
      <c r="F12" s="29" t="inlineStr"/>
    </row>
    <row r="13" ht="75" customHeight="1">
      <c r="A13" s="13" t="n">
        <v>9</v>
      </c>
      <c r="B13" s="12" t="inlineStr">
        <is>
          <t>Contraseñas</t>
        </is>
      </c>
      <c r="C13" s="21" t="inlineStr">
        <is>
          <t>¿Qué pasa al 3er intento fallido y cómo se recupera la cuenta?</t>
        </is>
      </c>
      <c r="D13" s="12" t="inlineStr">
        <is>
          <t>Keycloak marca la cuenta como bloqueada (brute force detection, permanentLockout). El login responde 423 y queda el evento ACCOUNT_LOCKED. Un administrador con identity.user.unlock la desbloquea desde la app; opcionalmente se reinicia con contraseña temporal y cambio obligatorio.</t>
        </is>
      </c>
      <c r="E13" s="13" t="inlineStr">
        <is>
          <t>Nicole</t>
        </is>
      </c>
      <c r="F13" s="29" t="inlineStr"/>
    </row>
    <row r="14" ht="75" customHeight="1">
      <c r="A14" s="13" t="n">
        <v>10</v>
      </c>
      <c r="B14" s="12" t="inlineStr">
        <is>
          <t>Contraseñas</t>
        </is>
      </c>
      <c r="C14" s="21" t="inlineStr">
        <is>
          <t>¿Qué es Keycloak y por qué usar una herramienta externa?</t>
        </is>
      </c>
      <c r="D14" s="12" t="inlineStr">
        <is>
          <t>IAM open source (OIDC/OAuth2) que centraliza cuentas, políticas de contraseñas, bloqueo y passkeys. Ventajas: diseño abierto y probado, menos código propio de seguridad (economía del mecanismo) y estandarización.</t>
        </is>
      </c>
      <c r="E14" s="13" t="inlineStr">
        <is>
          <t>Nicole</t>
        </is>
      </c>
      <c r="F14" s="29" t="inlineStr"/>
    </row>
    <row r="15" ht="75" customHeight="1">
      <c r="A15" s="13" t="n">
        <v>11</v>
      </c>
      <c r="B15" s="12" t="inlineStr">
        <is>
          <t>Contraseñas</t>
        </is>
      </c>
      <c r="C15" s="21" t="inlineStr">
        <is>
          <t>¿Cómo protege KeePassXC la bóveda y por qué un gestor de contraseñas?</t>
        </is>
      </c>
      <c r="D15" s="12" t="inlineStr">
        <is>
          <t>Cifra con AES-256 o ChaCha20 y deriva la clave con Argon2 a partir de la contraseña maestra y un archivo llave. Permite contraseñas largas y únicas por servicio sin memorizarlas, y evita secretos en chats o archivos .env compartidos.</t>
        </is>
      </c>
      <c r="E15" s="13" t="inlineStr">
        <is>
          <t>Favian</t>
        </is>
      </c>
      <c r="F15" s="29" t="inlineStr"/>
    </row>
    <row r="16" ht="75" customHeight="1">
      <c r="A16" s="13" t="n">
        <v>12</v>
      </c>
      <c r="B16" s="12" t="inlineStr">
        <is>
          <t>Usuarios</t>
        </is>
      </c>
      <c r="C16" s="21" t="inlineStr">
        <is>
          <t>¿Por qué el User ID tiene formato estándar, es inmutable y no se reutiliza?</t>
        </is>
      </c>
      <c r="D16" s="12" t="inlineStr">
        <is>
          <t>Trazabilidad: los logs y la auditoría referencian al usuario para siempre. Si se reutiliza o cambia con el rol, se pierde la atribución de las acciones (no repudio).</t>
        </is>
      </c>
      <c r="E16" s="13" t="inlineStr">
        <is>
          <t>Nicole</t>
        </is>
      </c>
      <c r="F16" s="29" t="inlineStr"/>
    </row>
    <row r="17" ht="75" customHeight="1">
      <c r="A17" s="13" t="n">
        <v>13</v>
      </c>
      <c r="B17" s="12" t="inlineStr">
        <is>
          <t>Roles</t>
        </is>
      </c>
      <c r="C17" s="21" t="inlineStr">
        <is>
          <t>¿Cómo se gestionan los roles sin tocar código ni la BD?</t>
        </is>
      </c>
      <c r="D17" s="12" t="inlineStr">
        <is>
          <t>Catálogo de permisos granular (módulo.recurso.acción), matriz rol × permiso editable en la app, permisos en el JWT y @RequiresPermission en cada servicio. Si cambia la matriz, cambia el acceso tras volver a iniciar sesión, sin redesplegar.</t>
        </is>
      </c>
      <c r="E17" s="13" t="inlineStr">
        <is>
          <t>Franco</t>
        </is>
      </c>
      <c r="F17" s="29" t="inlineStr"/>
    </row>
    <row r="18" ht="75" customHeight="1">
      <c r="A18" s="13" t="n">
        <v>14</v>
      </c>
      <c r="B18" s="12" t="inlineStr">
        <is>
          <t>Roles</t>
        </is>
      </c>
      <c r="C18" s="21" t="inlineStr">
        <is>
          <t>Diferencia entre autenticación y autorización. ¿Dónde ocurre cada una en MedicalSys?</t>
        </is>
      </c>
      <c r="D18" s="12" t="inlineStr">
        <is>
          <t>Autenticación = quién eres (Keycloak / ms-identidad emiten el token; el gateway valida firma y sesión). Autorización = qué puedes hacer (permisos evaluados en cada microservicio).</t>
        </is>
      </c>
      <c r="E18" s="13" t="inlineStr">
        <is>
          <t>Franco</t>
        </is>
      </c>
      <c r="F18" s="29" t="inlineStr"/>
    </row>
    <row r="19" ht="75" customHeight="1">
      <c r="A19" s="13" t="n">
        <v>15</v>
      </c>
      <c r="B19" s="12" t="inlineStr">
        <is>
          <t>OWASP</t>
        </is>
      </c>
      <c r="C19" s="21" t="inlineStr">
        <is>
          <t>Explica A01 Broken Access Control con el caso real del sistema.</t>
        </is>
      </c>
      <c r="D19" s="12" t="inlineStr">
        <is>
          <t>Antes: curl a :8088 con X-Roles: ADMINISTRATOR leía historias clínicas de cualquier tenant; ms-agenda no tenía control de rol. Después: puertos cerrados, cabeceras solo derivadas del JWT y denegación por defecto. Prueba: 401/403 en el script de RBAC-04.</t>
        </is>
      </c>
      <c r="E19" s="13" t="inlineStr">
        <is>
          <t>Juanjo</t>
        </is>
      </c>
      <c r="F19" s="29" t="inlineStr"/>
    </row>
    <row r="20" ht="75" customHeight="1">
      <c r="A20" s="13" t="n">
        <v>16</v>
      </c>
      <c r="B20" s="12" t="inlineStr">
        <is>
          <t>OWASP</t>
        </is>
      </c>
      <c r="C20" s="21" t="inlineStr">
        <is>
          <t>¿Qué otras categorías OWASP corrigieron y cómo?</t>
        </is>
      </c>
      <c r="D20" s="12" t="inlineStr">
        <is>
          <t>A07 (revocación de sesión, bloqueo), A05 (CORS *, puertos, usuarios demo, actuator) y A08 (verificación HMAC del webhook, hash de documentos). Cada una con prueba antes y después.</t>
        </is>
      </c>
      <c r="E20" s="13" t="inlineStr">
        <is>
          <t>Juanjo</t>
        </is>
      </c>
      <c r="F20" s="29" t="inlineStr"/>
    </row>
    <row r="21" ht="75" customHeight="1">
      <c r="A21" s="13" t="n">
        <v>17</v>
      </c>
      <c r="B21" s="12" t="inlineStr">
        <is>
          <t>Escaneo</t>
        </is>
      </c>
      <c r="C21" s="21" t="inlineStr">
        <is>
          <t>¿Qué herramientas de escaneo usaron y qué tipo de análisis hace cada una?</t>
        </is>
      </c>
      <c r="D21" s="12" t="inlineStr">
        <is>
          <t>OWASP ZAP = DAST (ataca la app en ejecución). Trivy = imágenes de contenedor y dependencias (SCA). OWASP Dependency-Check = SCA de librerías Maven contra CVE.</t>
        </is>
      </c>
      <c r="E21" s="13" t="inlineStr">
        <is>
          <t>Juanjo</t>
        </is>
      </c>
      <c r="F21" s="29" t="inlineStr"/>
    </row>
    <row r="22" ht="75" customHeight="1">
      <c r="A22" s="13" t="n">
        <v>18</v>
      </c>
      <c r="B22" s="12" t="inlineStr">
        <is>
          <t>Escaneo</t>
        </is>
      </c>
      <c r="C22" s="21" t="inlineStr">
        <is>
          <t>¿Qué es un CVE y qué es el CVSS?</t>
        </is>
      </c>
      <c r="D22" s="12" t="inlineStr">
        <is>
          <t>CVE: identificador público de una vulnerabilidad conocida. CVSS: puntaje de severidad de 0 a 10 (baja, media, alta, crítica) que usamos para priorizar.</t>
        </is>
      </c>
      <c r="E22" s="13" t="inlineStr">
        <is>
          <t>Juanjo</t>
        </is>
      </c>
      <c r="F22" s="29" t="inlineStr"/>
    </row>
    <row r="23" ht="75" customHeight="1">
      <c r="A23" s="13" t="n">
        <v>19</v>
      </c>
      <c r="B23" s="12" t="inlineStr">
        <is>
          <t>Cripto</t>
        </is>
      </c>
      <c r="C23" s="21" t="inlineStr">
        <is>
          <t>Diferencia entre checksum, hash criptográfico, HMAC, cifrado y firma digital.</t>
        </is>
      </c>
      <c r="D23" s="12" t="inlineStr">
        <is>
          <t>Checksum (CRC32): detecta errores accidentales y no resiste ataques. Hash (SHA-256): huella resistente a colisiones, sin clave. HMAC: hash con clave secreta (integridad + autenticidad). Cifrado (AES): confidencialidad. Firma digital: clave privada, integridad + autenticidad + no repudio.</t>
        </is>
      </c>
      <c r="E23" s="13" t="inlineStr">
        <is>
          <t>Alvaro</t>
        </is>
      </c>
      <c r="F23" s="29" t="inlineStr"/>
    </row>
    <row r="24" ht="75" customHeight="1">
      <c r="A24" s="13" t="n">
        <v>20</v>
      </c>
      <c r="B24" s="12" t="inlineStr">
        <is>
          <t>Cripto</t>
        </is>
      </c>
      <c r="C24" s="21" t="inlineStr">
        <is>
          <t>¿Por qué AES-256-GCM para la narrativa clínica? ¿Qué es el AAD?</t>
        </is>
      </c>
      <c r="D24" s="12" t="inlineStr">
        <is>
          <t>GCM es cifrado autenticado: da confidencialidad e integridad y detecta manipulación. Nonce de 96 bits aleatorio y único. El AAD (organización, propósito, versión) liga el texto cifrado a su tenant: no se puede trasladar a otra organización.</t>
        </is>
      </c>
      <c r="E24" s="13" t="inlineStr">
        <is>
          <t>Alvaro</t>
        </is>
      </c>
      <c r="F24" s="29" t="inlineStr"/>
    </row>
    <row r="25" ht="75" customHeight="1">
      <c r="A25" s="13" t="n">
        <v>21</v>
      </c>
      <c r="B25" s="12" t="inlineStr">
        <is>
          <t>Cripto</t>
        </is>
      </c>
      <c r="C25" s="21" t="inlineStr">
        <is>
          <t>¿Cómo demuestras que un documento o archivo no fue alterado?</t>
        </is>
      </c>
      <c r="D25" s="12" t="inlineStr">
        <is>
          <t>Se recalcula el SHA-256 y se compara con el guardado al subirlo (CRY-02) o con SHA256SUMS (sha256sum -c / Get-FileHash). Si cambia un bit, el hash cambia por completo (efecto avalancha).</t>
        </is>
      </c>
      <c r="E25" s="13" t="inlineStr">
        <is>
          <t>Alvaro</t>
        </is>
      </c>
      <c r="F25" s="29" t="inlineStr"/>
    </row>
    <row r="26" ht="75" customHeight="1">
      <c r="A26" s="13" t="n">
        <v>22</v>
      </c>
      <c r="B26" s="12" t="inlineStr">
        <is>
          <t>Cripto</t>
        </is>
      </c>
      <c r="C26" s="21" t="inlineStr">
        <is>
          <t>¿Por qué MD5 y SHA-1 están prohibidos?</t>
        </is>
      </c>
      <c r="D26" s="12" t="inlineStr">
        <is>
          <t>Se conocen colisiones prácticas: un atacante puede fabricar dos archivos distintos con el mismo hash.</t>
        </is>
      </c>
      <c r="E26" s="13" t="inlineStr">
        <is>
          <t>Alvaro</t>
        </is>
      </c>
      <c r="F26" s="29" t="inlineStr"/>
    </row>
    <row r="27" ht="75" customHeight="1">
      <c r="A27" s="13" t="n">
        <v>23</v>
      </c>
      <c r="B27" s="12" t="inlineStr">
        <is>
          <t>Logs</t>
        </is>
      </c>
      <c r="C27" s="21" t="inlineStr">
        <is>
          <t>Logs de aplicación vs logs de usuario (seguridad). ¿Qué NUNCA se registra?</t>
        </is>
      </c>
      <c r="D27" s="12" t="inlineStr">
        <is>
          <t>Aplicación: funcionamiento y errores (diagnóstico). Seguridad: quién hizo qué, cuándo, desde dónde y con qué resultado (auditoría). Nunca se registran contraseñas, tokens, OTP ni datos clínicos.</t>
        </is>
      </c>
      <c r="E27" s="13" t="inlineStr">
        <is>
          <t>Alvaro</t>
        </is>
      </c>
      <c r="F27" s="29" t="inlineStr"/>
    </row>
    <row r="28" ht="75" customHeight="1">
      <c r="A28" s="13" t="n">
        <v>24</v>
      </c>
      <c r="B28" s="12" t="inlineStr">
        <is>
          <t>Logs</t>
        </is>
      </c>
      <c r="C28" s="21" t="inlineStr">
        <is>
          <t>¿Cómo se garantiza que nadie altere la bitácora?</t>
        </is>
      </c>
      <c r="D28" s="12" t="inlineStr">
        <is>
          <t>Bitácora append-only con cadena de hash (cada evento incluye el hash del anterior), verificable con el endpoint de integridad. Solo ms-auditoria escribe, nunca desde el navegador, y solo auditores la leen.</t>
        </is>
      </c>
      <c r="E28" s="13" t="inlineStr">
        <is>
          <t>Alvaro</t>
        </is>
      </c>
      <c r="F28" s="29" t="inlineStr"/>
    </row>
    <row r="29" ht="75" customHeight="1">
      <c r="A29" s="13" t="n">
        <v>25</v>
      </c>
      <c r="B29" s="12" t="inlineStr">
        <is>
          <t>ISO</t>
        </is>
      </c>
      <c r="C29" s="21" t="inlineStr">
        <is>
          <t>ISO 27002:2013 vs 2022: ¿qué cambió?</t>
        </is>
      </c>
      <c r="D29" s="12" t="inlineStr">
        <is>
          <t>2013: 114 controles en 14 dominios (A.5–A.18). 2022: 93 controles en 4 temas (organizacionales 37, personas 8, físicos 14, tecnológicos 34), atributos y 11 controles nuevos (inteligencia de amenazas 5.7, nube 5.23, continuidad TIC 5.30, monitoreo físico 7.4, gestión de configuración 8.9, borrado 8.10, enmascaramiento 8.11, DLP 8.12, monitoreo 8.16, filtrado web 8.23, codificación segura 8.28).</t>
        </is>
      </c>
      <c r="E29" s="13" t="inlineStr">
        <is>
          <t>Alan</t>
        </is>
      </c>
      <c r="F29" s="29" t="inlineStr"/>
    </row>
    <row r="30" ht="75" customHeight="1">
      <c r="A30" s="13" t="n">
        <v>26</v>
      </c>
      <c r="B30" s="12" t="inlineStr">
        <is>
          <t>ISO</t>
        </is>
      </c>
      <c r="C30" s="21" t="inlineStr">
        <is>
          <t>¿Qué es una ficha de evaluación de brechas?</t>
        </is>
      </c>
      <c r="D30" s="12" t="inlineStr">
        <is>
          <t>Compara la situación actual de un control con la deseada, describe la brecha, el riesgo, la acción correctiva, el responsable, la fecha y la evidencia de cierre.</t>
        </is>
      </c>
      <c r="E30" s="13" t="inlineStr">
        <is>
          <t>Alan</t>
        </is>
      </c>
      <c r="F30" s="29" t="inlineStr"/>
    </row>
    <row r="31" ht="75" customHeight="1">
      <c r="A31" s="13" t="n">
        <v>27</v>
      </c>
      <c r="B31" s="12" t="inlineStr">
        <is>
          <t>Clasificación</t>
        </is>
      </c>
      <c r="C31" s="21" t="inlineStr">
        <is>
          <t>¿Cómo se clasifica un activo y por qué la historia clínica es «Restringida»?</t>
        </is>
      </c>
      <c r="D31" s="12" t="inlineStr">
        <is>
          <t>Se valoran la confidencialidad, la integridad y la disponibilidad (1–3) y el nivel es el máximo. La historia clínica tiene confidencialidad e integridad máximas (dato sensible de salud) → Restringida: cifrado AES-256-GCM, RBAC estricto, acceso entre tenants solo con OTP del paciente.</t>
        </is>
      </c>
      <c r="E31" s="13" t="inlineStr">
        <is>
          <t>Favian</t>
        </is>
      </c>
      <c r="F31" s="29" t="inlineStr"/>
    </row>
    <row r="32" ht="75" customHeight="1">
      <c r="A32" s="13" t="n">
        <v>28</v>
      </c>
      <c r="B32" s="12" t="inlineStr">
        <is>
          <t>Riesgos</t>
        </is>
      </c>
      <c r="C32" s="21" t="inlineStr">
        <is>
          <t>Riesgo inherente vs residual. ¿Cuáles son sus 2 riesgos?</t>
        </is>
      </c>
      <c r="D32" s="12" t="inlineStr">
        <is>
          <t>Riesgo = probabilidad × impacto. Inherente: sin controles. Residual: tras aplicar los controles. R1: acceso no autorizado a historias clínicas. R2: compromiso de credenciales.</t>
        </is>
      </c>
      <c r="E32" s="13" t="inlineStr">
        <is>
          <t>Alan</t>
        </is>
      </c>
      <c r="F32" s="29" t="inlineStr"/>
    </row>
    <row r="33" ht="75" customHeight="1">
      <c r="A33" s="13" t="n">
        <v>29</v>
      </c>
      <c r="B33" s="12" t="inlineStr">
        <is>
          <t>Riesgos</t>
        </is>
      </c>
      <c r="C33" s="21" t="inlineStr">
        <is>
          <t>¿Qué es un KRI y cuáles definieron?</t>
        </is>
      </c>
      <c r="D33" s="12" t="inlineStr">
        <is>
          <t>Indicador clave de riesgo: métrica anticipada con umbrales que avisa que un riesgo crece (≠ KPI, que mide desempeño). KRI-1: cuentas bloqueadas o logins fallidos por día. KRI-2: accesos denegados (403) por día o vulnerabilidades críticas abiertas, con umbrales verde/ámbar/rojo.</t>
        </is>
      </c>
      <c r="E33" s="13" t="inlineStr">
        <is>
          <t>Alan</t>
        </is>
      </c>
      <c r="F33" s="29" t="inlineStr"/>
    </row>
    <row r="34" ht="75" customHeight="1">
      <c r="A34" s="13" t="n">
        <v>30</v>
      </c>
      <c r="B34" s="12" t="inlineStr">
        <is>
          <t>Módulo 15</t>
        </is>
      </c>
      <c r="C34" s="21" t="inlineStr">
        <is>
          <t>¿Qué automatiza su módulo 15 y por qué fuera del sistema?</t>
        </is>
      </c>
      <c r="D34" s="12" t="inlineStr">
        <is>
          <t>Automatiza la clasificación de activos (formulario → nivel → matriz → dashboard). Va fuera de MedicalSys porque es una herramienta de gestión de seguridad de la información de la organización, no una función clínica.</t>
        </is>
      </c>
      <c r="E34" s="13" t="inlineStr">
        <is>
          <t>Favian</t>
        </is>
      </c>
      <c r="F34" s="29" t="inlineStr"/>
    </row>
  </sheetData>
  <dataValidations count="1">
    <dataValidation sqref="F5:F34" showDropDown="0" showInputMessage="0" showErrorMessage="0" allowBlank="1" type="list">
      <formula1>"Sí,Más o menos,No"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2026-10-10T02:47:05Z</dcterms:created>
  <dcterms:modified xsi:type="dcterms:W3CDTF">2026-10-24T19:07:58Z</dcterms:modified>
</cp:coreProperties>
</file>